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387" documentId="13_ncr:1_{52A364DC-9654-41CE-AD41-F2E07BC9A8E5}" xr6:coauthVersionLast="47" xr6:coauthVersionMax="47" xr10:uidLastSave="{32EC0601-B487-4E93-BB64-C48890131CE2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2" l="1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K54" i="2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J47" i="2"/>
  <c r="M47" i="2" s="1"/>
  <c r="K46" i="2"/>
  <c r="J46" i="2"/>
  <c r="K45" i="2"/>
  <c r="N45" i="2" s="1"/>
  <c r="J45" i="2"/>
  <c r="K44" i="2"/>
  <c r="J44" i="2"/>
  <c r="K43" i="2"/>
  <c r="J43" i="2"/>
  <c r="M43" i="2" s="1"/>
  <c r="K42" i="2"/>
  <c r="J42" i="2"/>
  <c r="K41" i="2"/>
  <c r="J41" i="2"/>
  <c r="M41" i="2" s="1"/>
  <c r="K40" i="2"/>
  <c r="N40" i="2" s="1"/>
  <c r="J40" i="2"/>
  <c r="K39" i="2"/>
  <c r="J39" i="2"/>
  <c r="M39" i="2" s="1"/>
  <c r="K38" i="2"/>
  <c r="J38" i="2"/>
  <c r="K37" i="2"/>
  <c r="J37" i="2"/>
  <c r="K36" i="2"/>
  <c r="J36" i="2"/>
  <c r="K35" i="2"/>
  <c r="J35" i="2"/>
  <c r="K34" i="2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J27" i="2"/>
  <c r="K26" i="2"/>
  <c r="J26" i="2"/>
  <c r="K25" i="2"/>
  <c r="J25" i="2"/>
  <c r="K24" i="2"/>
  <c r="J24" i="2"/>
  <c r="M24" i="2" s="1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M17" i="2" s="1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N7" i="2" s="1"/>
  <c r="J7" i="2"/>
  <c r="M7" i="2" s="1"/>
  <c r="K6" i="2"/>
  <c r="J6" i="2"/>
  <c r="K5" i="2"/>
  <c r="J5" i="2"/>
  <c r="N47" i="2" l="1"/>
  <c r="N44" i="2"/>
  <c r="N43" i="2"/>
  <c r="N42" i="2"/>
  <c r="N41" i="2"/>
  <c r="M40" i="2"/>
  <c r="N39" i="2"/>
  <c r="N9" i="2"/>
  <c r="N11" i="2"/>
  <c r="N12" i="2"/>
  <c r="N16" i="2"/>
  <c r="N18" i="2"/>
  <c r="N19" i="2"/>
  <c r="N20" i="2"/>
  <c r="N21" i="2"/>
  <c r="N22" i="2"/>
  <c r="N23" i="2"/>
  <c r="N24" i="2"/>
  <c r="N27" i="2"/>
  <c r="N34" i="2"/>
  <c r="N35" i="2"/>
  <c r="N36" i="2"/>
  <c r="M46" i="2"/>
  <c r="N37" i="2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89" i="2"/>
  <c r="M14" i="2"/>
  <c r="M42" i="2"/>
  <c r="N10" i="2"/>
  <c r="N30" i="2"/>
  <c r="N50" i="2"/>
  <c r="J89" i="2"/>
  <c r="M22" i="2"/>
  <c r="N26" i="2"/>
  <c r="M6" i="2"/>
  <c r="N6" i="2"/>
  <c r="M34" i="2"/>
  <c r="N46" i="2"/>
  <c r="N38" i="2"/>
  <c r="M18" i="2"/>
  <c r="N89" i="2" l="1"/>
  <c r="M89" i="2"/>
</calcChain>
</file>

<file path=xl/sharedStrings.xml><?xml version="1.0" encoding="utf-8"?>
<sst xmlns="http://schemas.openxmlformats.org/spreadsheetml/2006/main" count="612" uniqueCount="116">
  <si>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</si>
  <si>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</si>
  <si>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</si>
  <si>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</si>
  <si>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</si>
  <si>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</si>
  <si>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</si>
  <si>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</si>
  <si>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</si>
  <si>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</si>
  <si>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</si>
  <si>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</si>
  <si>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</si>
  <si>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</si>
  <si>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</si>
  <si>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</si>
  <si>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</si>
  <si>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</si>
  <si>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</si>
  <si>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</si>
  <si>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</si>
  <si>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</si>
  <si>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</si>
  <si>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</si>
  <si>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</si>
  <si>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</si>
  <si>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</si>
  <si>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</si>
  <si>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</si>
  <si>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</si>
  <si>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</si>
  <si>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</si>
  <si>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</si>
  <si>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</si>
  <si>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</si>
  <si>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</si>
  <si>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</si>
  <si>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</si>
  <si>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</si>
  <si>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</si>
  <si>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</si>
  <si>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</si>
  <si>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</si>
  <si>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</si>
  <si>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</si>
  <si>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</si>
  <si>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</si>
  <si>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</si>
  <si>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</si>
  <si>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</si>
  <si>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</si>
  <si>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</si>
  <si>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</si>
  <si>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</si>
  <si>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</si>
  <si>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</si>
  <si>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</si>
  <si>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</si>
  <si>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</si>
  <si>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</si>
  <si>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</si>
  <si>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</si>
  <si>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</si>
  <si>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</si>
  <si>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</si>
  <si>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</si>
  <si>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</si>
  <si>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</si>
  <si>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</si>
  <si>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</si>
  <si>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</si>
  <si>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</si>
  <si>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</si>
  <si>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</si>
  <si>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</si>
  <si>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</si>
  <si>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</si>
  <si>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</si>
  <si>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</si>
  <si>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</si>
  <si>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</si>
  <si>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</si>
  <si>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</si>
  <si>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</si>
  <si>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</si>
  <si>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</si>
  <si>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</si>
  <si>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</si>
  <si>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</si>
  <si>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</si>
  <si>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</si>
  <si>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</si>
  <si>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</si>
  <si>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</si>
  <si>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TAN PIEH FANG</t>
  </si>
  <si>
    <t>Cash Account</t>
  </si>
  <si>
    <t>Eastspring Investments Dinasti Equity Fund</t>
  </si>
  <si>
    <t>Eastspring Investments Small-Cap Fund</t>
  </si>
  <si>
    <t>CBAAU 6.400% 05Mar2046 Corp (AUD)</t>
  </si>
  <si>
    <t>AHAM AIIMAN PRS Shariah Growth Fund (PRS)</t>
  </si>
  <si>
    <t>Principal PRS Plus Asia Pacific Ex Japan Equity - Class A (PRS)</t>
  </si>
  <si>
    <t>LIM WOOI KHANG</t>
  </si>
  <si>
    <t>ETF</t>
  </si>
  <si>
    <t>RHB Cash Management Fund 2</t>
  </si>
  <si>
    <t>LIM SHENG YEE</t>
  </si>
  <si>
    <t>Kenanga Growth Fund</t>
  </si>
  <si>
    <t>HOO PENG YAN</t>
  </si>
  <si>
    <t>SDHMK 6.300% 09May2022 Corp (USD)</t>
  </si>
  <si>
    <t>USD</t>
  </si>
  <si>
    <t>TOH SHU HUA</t>
  </si>
  <si>
    <t>TAN LI YING</t>
  </si>
  <si>
    <t>Principal PRS Plus Asia Pacific Ex Jap Equity (Class C) (PRS)</t>
  </si>
  <si>
    <t>CHAN CHEE KENG</t>
  </si>
  <si>
    <t>LIU KAI YOU</t>
  </si>
  <si>
    <t>JANICE QUEK KHANG WEN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</si>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</sst>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164" fontId="6" fillId="10" borderId="0" xfId="0" applyNumberFormat="1" applyFont="1" applyFill="1"/>
    <xf numFmtId="165" fontId="6" fillId="10" borderId="0" xfId="0" applyNumberFormat="1" applyFont="1" applyFill="1"/>
    <xf numFmtId="4" fontId="5" fillId="2" borderId="0" xfId="0" applyNumberFormat="1" applyFont="1" applyFill="1" applyAlignment="1">
      <alignment horizontal="left" vertical="center"/>
    </xf>
    <xf numFmtId="3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 x14ac:dyDescent="0.45"/>
  <cols>
    <col min="1" max="1" width="5" customWidth="1"/>
    <col min="2" max="2" width="60" customWidth="1"/>
    <col min="3" max="3" width="5" customWidth="1"/>
  </cols>
  <sheetData>
    <row r="2" spans="1:3" ht="20.65" x14ac:dyDescent="0.45">
      <c r="A2" t="s">
        <v>0</v>
      </c>
      <c r="B2" s="1" t="s">
        <v>1</v>
      </c>
      <c r="C2" t="s">
        <v>0</v>
      </c>
    </row>
    <row r="3" spans="1:3" x14ac:dyDescent="0.45">
      <c r="A3" t="s">
        <v>0</v>
      </c>
      <c r="B3" s="2" t="s">
        <v>2</v>
      </c>
      <c r="C3" t="s">
        <v>0</v>
      </c>
    </row>
    <row r="5" spans="1:3" x14ac:dyDescent="0.45">
      <c r="A5" t="s">
        <v>0</v>
      </c>
      <c r="B5" s="3" t="s">
        <v>3</v>
      </c>
      <c r="C5" t="s">
        <v>0</v>
      </c>
    </row>
    <row r="6" spans="1:3" x14ac:dyDescent="0.45">
      <c r="A6" t="s">
        <v>0</v>
      </c>
      <c r="B6" s="4" t="s">
        <v>4</v>
      </c>
      <c r="C6" t="s">
        <v>0</v>
      </c>
    </row>
    <row r="7" spans="1:3" x14ac:dyDescent="0.45">
      <c r="A7" t="s">
        <v>0</v>
      </c>
      <c r="B7" s="4" t="s">
        <v>5</v>
      </c>
      <c r="C7" t="s">
        <v>0</v>
      </c>
    </row>
    <row r="8" spans="1:3" x14ac:dyDescent="0.45">
      <c r="A8" t="s">
        <v>0</v>
      </c>
      <c r="B8" s="4" t="s">
        <v>6</v>
      </c>
      <c r="C8" t="s">
        <v>0</v>
      </c>
    </row>
    <row r="9" spans="1:3" ht="25.5" x14ac:dyDescent="0.45">
      <c r="A9" t="s">
        <v>0</v>
      </c>
      <c r="B9" s="4" t="s">
        <v>7</v>
      </c>
      <c r="C9" t="s">
        <v>0</v>
      </c>
    </row>
    <row r="10" spans="1:3" ht="25.5" x14ac:dyDescent="0.45">
      <c r="A10" t="s">
        <v>0</v>
      </c>
      <c r="B10" s="4" t="s">
        <v>8</v>
      </c>
      <c r="C10" t="s">
        <v>0</v>
      </c>
    </row>
    <row r="11" spans="1:3" ht="25.5" x14ac:dyDescent="0.45">
      <c r="A11" t="s">
        <v>0</v>
      </c>
      <c r="B11" s="4" t="s">
        <v>9</v>
      </c>
      <c r="C11" t="s">
        <v>0</v>
      </c>
    </row>
    <row r="12" spans="1:3" x14ac:dyDescent="0.45">
      <c r="A12" t="s">
        <v>0</v>
      </c>
      <c r="B12" s="4" t="s">
        <v>10</v>
      </c>
      <c r="C12" t="s">
        <v>0</v>
      </c>
    </row>
    <row r="13" spans="1:3" x14ac:dyDescent="0.45">
      <c r="A13" t="s">
        <v>0</v>
      </c>
      <c r="B13" s="4" t="s">
        <v>11</v>
      </c>
      <c r="C13" t="s">
        <v>0</v>
      </c>
    </row>
    <row r="14" spans="1:3" ht="25.5" x14ac:dyDescent="0.45">
      <c r="A14" t="s">
        <v>0</v>
      </c>
      <c r="B14" s="4" t="s">
        <v>12</v>
      </c>
      <c r="C14" t="s">
        <v>0</v>
      </c>
    </row>
    <row r="16" spans="1:3" x14ac:dyDescent="0.45">
      <c r="A16" t="s">
        <v>0</v>
      </c>
      <c r="B16" s="3" t="s">
        <v>13</v>
      </c>
      <c r="C16" t="s">
        <v>0</v>
      </c>
    </row>
    <row r="17" spans="1:3" x14ac:dyDescent="0.45">
      <c r="A17" t="s">
        <v>0</v>
      </c>
      <c r="B17" s="5" t="s">
        <v>14</v>
      </c>
      <c r="C17" t="s">
        <v>0</v>
      </c>
    </row>
    <row r="18" spans="1:3" x14ac:dyDescent="0.45">
      <c r="A18" t="s">
        <v>0</v>
      </c>
      <c r="B18" s="6" t="s">
        <v>15</v>
      </c>
      <c r="C18" t="s">
        <v>0</v>
      </c>
    </row>
    <row r="19" spans="1:3" x14ac:dyDescent="0.45">
      <c r="A19" t="s">
        <v>0</v>
      </c>
      <c r="B19" s="7" t="s">
        <v>16</v>
      </c>
      <c r="C19" t="s">
        <v>0</v>
      </c>
    </row>
    <row r="20" spans="1:3" x14ac:dyDescent="0.45">
      <c r="A20" t="s">
        <v>0</v>
      </c>
      <c r="B20" s="8" t="s">
        <v>17</v>
      </c>
      <c r="C20" t="s">
        <v>0</v>
      </c>
    </row>
    <row r="21" spans="1:3" x14ac:dyDescent="0.45">
      <c r="A21" t="s">
        <v>0</v>
      </c>
      <c r="B21" s="9" t="s">
        <v>18</v>
      </c>
      <c r="C21" t="s">
        <v>0</v>
      </c>
    </row>
    <row r="23" spans="1:3" x14ac:dyDescent="0.45">
      <c r="A23" t="s">
        <v>0</v>
      </c>
      <c r="B23" s="3" t="s">
        <v>19</v>
      </c>
      <c r="C23" t="s">
        <v>0</v>
      </c>
    </row>
    <row r="24" spans="1:3" x14ac:dyDescent="0.45">
      <c r="A24" t="s">
        <v>0</v>
      </c>
      <c r="B24" s="4" t="s">
        <v>20</v>
      </c>
      <c r="C24" t="s">
        <v>0</v>
      </c>
    </row>
    <row r="25" spans="1:3" ht="25.5" x14ac:dyDescent="0.45">
      <c r="A25" t="s">
        <v>0</v>
      </c>
      <c r="B25" s="4" t="s">
        <v>21</v>
      </c>
      <c r="C25" t="s">
        <v>0</v>
      </c>
    </row>
    <row r="26" spans="1:3" ht="25.5" x14ac:dyDescent="0.45">
      <c r="A26" t="s">
        <v>0</v>
      </c>
      <c r="B26" s="4" t="s">
        <v>22</v>
      </c>
      <c r="C26" t="s">
        <v>0</v>
      </c>
    </row>
    <row r="27" spans="1:3" ht="25.5" x14ac:dyDescent="0.45">
      <c r="A27" t="s">
        <v>0</v>
      </c>
      <c r="B27" s="4" t="s">
        <v>23</v>
      </c>
      <c r="C27" t="s">
        <v>0</v>
      </c>
    </row>
    <row r="28" spans="1:3" ht="25.5" x14ac:dyDescent="0.45">
      <c r="A28" t="s">
        <v>0</v>
      </c>
      <c r="B28" s="4" t="s">
        <v>24</v>
      </c>
      <c r="C28" t="s">
        <v>0</v>
      </c>
    </row>
    <row r="29" spans="1:3" ht="25.5" x14ac:dyDescent="0.4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9"/>
  <sheetViews>
    <sheetView tabSelected="1" topLeftCell="B1" workbookViewId="0">
      <pane ySplit="4" topLeftCell="A63" activePane="bottomLeft" state="frozen"/>
      <selection pane="bottomLeft" activeCell="I73" sqref="I73"/>
    </sheetView>
  </sheetViews>
  <sheetFormatPr defaultRowHeight="14.25" x14ac:dyDescent="0.45"/>
  <cols>
    <col min="1" max="1" width="30" customWidth="1"/>
    <col min="2" max="2" width="54.265625" bestFit="1" customWidth="1"/>
    <col min="3" max="3" width="14" customWidth="1"/>
    <col min="4" max="4" width="29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 x14ac:dyDescent="0.45">
      <c r="A1" s="31" t="s">
        <v>26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20.100000000000001" customHeight="1" x14ac:dyDescent="0.45">
      <c r="A2" s="32" t="s">
        <v>27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32.1" customHeight="1" x14ac:dyDescent="0.45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 x14ac:dyDescent="0.45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 x14ac:dyDescent="0.45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 x14ac:dyDescent="0.45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 x14ac:dyDescent="0.45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 x14ac:dyDescent="0.45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 x14ac:dyDescent="0.45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 x14ac:dyDescent="0.45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 x14ac:dyDescent="0.45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 x14ac:dyDescent="0.45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 x14ac:dyDescent="0.45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 x14ac:dyDescent="0.45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 x14ac:dyDescent="0.45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 x14ac:dyDescent="0.45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 x14ac:dyDescent="0.45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 x14ac:dyDescent="0.45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 x14ac:dyDescent="0.45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 x14ac:dyDescent="0.45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 x14ac:dyDescent="0.45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 x14ac:dyDescent="0.45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 x14ac:dyDescent="0.45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 x14ac:dyDescent="0.45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 x14ac:dyDescent="0.45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 x14ac:dyDescent="0.45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 x14ac:dyDescent="0.45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 x14ac:dyDescent="0.45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 x14ac:dyDescent="0.45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 x14ac:dyDescent="0.45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 x14ac:dyDescent="0.45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 x14ac:dyDescent="0.4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 x14ac:dyDescent="0.45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 x14ac:dyDescent="0.45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 x14ac:dyDescent="0.45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 x14ac:dyDescent="0.45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 x14ac:dyDescent="0.45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88" si="6">G37*I37</f>
        <v>6.9</v>
      </c>
      <c r="K37" s="14">
        <f t="shared" ref="K37:K88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 x14ac:dyDescent="0.45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 x14ac:dyDescent="0.45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>
        <v>1</v>
      </c>
      <c r="J39" s="14">
        <f t="shared" si="6"/>
        <v>12152.55</v>
      </c>
      <c r="K39" s="14">
        <f t="shared" si="7"/>
        <v>9000</v>
      </c>
      <c r="L39" s="15"/>
      <c r="M39" s="16">
        <f t="shared" si="4"/>
        <v>3152.5499999999993</v>
      </c>
      <c r="N39" s="17">
        <f t="shared" si="5"/>
        <v>0.35028333333333328</v>
      </c>
    </row>
    <row r="40" spans="1:14" ht="22.15" customHeight="1" x14ac:dyDescent="0.45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>
        <v>1</v>
      </c>
      <c r="J40" s="14">
        <f t="shared" si="6"/>
        <v>3766.64</v>
      </c>
      <c r="K40" s="14">
        <f t="shared" si="7"/>
        <v>2000</v>
      </c>
      <c r="L40" s="15"/>
      <c r="M40" s="16">
        <f t="shared" si="4"/>
        <v>1766.6399999999999</v>
      </c>
      <c r="N40" s="17">
        <f t="shared" si="5"/>
        <v>0.88331999999999988</v>
      </c>
    </row>
    <row r="41" spans="1:14" ht="22.15" customHeight="1" x14ac:dyDescent="0.45">
      <c r="A41" s="5" t="s">
        <v>92</v>
      </c>
      <c r="B41" s="5" t="s">
        <v>80</v>
      </c>
      <c r="C41" s="5" t="s">
        <v>66</v>
      </c>
      <c r="D41" s="5" t="s">
        <v>73</v>
      </c>
      <c r="E41" s="5" t="s">
        <v>59</v>
      </c>
      <c r="F41" s="5" t="s">
        <v>60</v>
      </c>
      <c r="G41" s="5">
        <v>4.83</v>
      </c>
      <c r="H41" s="5">
        <v>61000</v>
      </c>
      <c r="I41" s="5">
        <v>1</v>
      </c>
      <c r="J41" s="14">
        <f t="shared" si="6"/>
        <v>4.83</v>
      </c>
      <c r="K41" s="14">
        <f t="shared" si="7"/>
        <v>61000</v>
      </c>
      <c r="L41" s="15"/>
      <c r="M41" s="16">
        <f t="shared" si="4"/>
        <v>-60995.17</v>
      </c>
      <c r="N41" s="17">
        <f t="shared" si="5"/>
        <v>-0.99992081967213109</v>
      </c>
    </row>
    <row r="42" spans="1:14" ht="22.15" customHeight="1" x14ac:dyDescent="0.45">
      <c r="A42" s="5" t="s">
        <v>94</v>
      </c>
      <c r="B42" s="5" t="s">
        <v>74</v>
      </c>
      <c r="C42" s="5" t="s">
        <v>57</v>
      </c>
      <c r="D42" s="5" t="s">
        <v>73</v>
      </c>
      <c r="E42" s="5" t="s">
        <v>59</v>
      </c>
      <c r="F42" s="5" t="s">
        <v>60</v>
      </c>
      <c r="G42" s="21">
        <v>38798.160000000003</v>
      </c>
      <c r="H42" s="21">
        <v>36000</v>
      </c>
      <c r="I42" s="5">
        <v>1</v>
      </c>
      <c r="J42" s="14">
        <f t="shared" si="6"/>
        <v>38798.160000000003</v>
      </c>
      <c r="K42" s="14">
        <f t="shared" si="7"/>
        <v>36000</v>
      </c>
      <c r="L42" s="15"/>
      <c r="M42" s="16">
        <f t="shared" si="4"/>
        <v>2798.1600000000035</v>
      </c>
      <c r="N42" s="17">
        <f t="shared" si="5"/>
        <v>7.7726666666666763E-2</v>
      </c>
    </row>
    <row r="43" spans="1:14" ht="22.15" customHeight="1" x14ac:dyDescent="0.45">
      <c r="A43" s="5" t="s">
        <v>94</v>
      </c>
      <c r="B43" s="5" t="s">
        <v>75</v>
      </c>
      <c r="C43" s="5" t="s">
        <v>57</v>
      </c>
      <c r="D43" s="5" t="s">
        <v>73</v>
      </c>
      <c r="E43" s="5" t="s">
        <v>59</v>
      </c>
      <c r="F43" s="5" t="s">
        <v>60</v>
      </c>
      <c r="G43" s="21">
        <v>98857.14</v>
      </c>
      <c r="H43" s="21">
        <v>94600</v>
      </c>
      <c r="I43" s="5">
        <v>1</v>
      </c>
      <c r="J43" s="14">
        <f t="shared" si="6"/>
        <v>98857.14</v>
      </c>
      <c r="K43" s="14">
        <f t="shared" si="7"/>
        <v>94600</v>
      </c>
      <c r="L43" s="15"/>
      <c r="M43" s="16">
        <f t="shared" si="4"/>
        <v>4257.1399999999994</v>
      </c>
      <c r="N43" s="17">
        <f t="shared" si="5"/>
        <v>4.50014799154334E-2</v>
      </c>
    </row>
    <row r="44" spans="1:14" ht="22.15" customHeight="1" x14ac:dyDescent="0.45">
      <c r="A44" s="5" t="s">
        <v>94</v>
      </c>
      <c r="B44" s="5" t="s">
        <v>95</v>
      </c>
      <c r="C44" s="5" t="s">
        <v>66</v>
      </c>
      <c r="D44" s="5" t="s">
        <v>58</v>
      </c>
      <c r="E44" s="5" t="s">
        <v>59</v>
      </c>
      <c r="F44" s="5" t="s">
        <v>60</v>
      </c>
      <c r="G44" s="5">
        <v>3.83</v>
      </c>
      <c r="H44" s="5">
        <v>3.83</v>
      </c>
      <c r="I44" s="5">
        <v>1</v>
      </c>
      <c r="J44" s="14">
        <f t="shared" si="6"/>
        <v>3.83</v>
      </c>
      <c r="K44" s="14">
        <f t="shared" si="7"/>
        <v>3.83</v>
      </c>
      <c r="L44" s="15"/>
      <c r="M44" s="16">
        <f t="shared" si="4"/>
        <v>0</v>
      </c>
      <c r="N44" s="17">
        <f t="shared" si="5"/>
        <v>0</v>
      </c>
    </row>
    <row r="45" spans="1:14" ht="22.15" customHeight="1" x14ac:dyDescent="0.45">
      <c r="A45" s="5" t="s">
        <v>94</v>
      </c>
      <c r="B45" s="5" t="s">
        <v>95</v>
      </c>
      <c r="C45" s="5" t="s">
        <v>66</v>
      </c>
      <c r="D45" s="5" t="s">
        <v>58</v>
      </c>
      <c r="E45" s="5" t="s">
        <v>59</v>
      </c>
      <c r="F45" s="5" t="s">
        <v>60</v>
      </c>
      <c r="G45" s="5">
        <v>8.56</v>
      </c>
      <c r="H45" s="5">
        <v>8.56</v>
      </c>
      <c r="I45" s="5">
        <v>1</v>
      </c>
      <c r="J45" s="14">
        <f t="shared" si="6"/>
        <v>8.56</v>
      </c>
      <c r="K45" s="14">
        <f t="shared" si="7"/>
        <v>8.56</v>
      </c>
      <c r="L45" s="15"/>
      <c r="M45" s="16">
        <f t="shared" si="4"/>
        <v>0</v>
      </c>
      <c r="N45" s="17">
        <f t="shared" si="5"/>
        <v>0</v>
      </c>
    </row>
    <row r="46" spans="1:14" ht="22.15" customHeight="1" x14ac:dyDescent="0.45">
      <c r="A46" s="5" t="s">
        <v>94</v>
      </c>
      <c r="B46" s="5" t="s">
        <v>95</v>
      </c>
      <c r="C46" s="5" t="s">
        <v>66</v>
      </c>
      <c r="D46" s="5" t="s">
        <v>58</v>
      </c>
      <c r="E46" s="5" t="s">
        <v>59</v>
      </c>
      <c r="F46" s="5" t="s">
        <v>60</v>
      </c>
      <c r="G46" s="5">
        <v>3.83</v>
      </c>
      <c r="H46" s="5">
        <v>3.83</v>
      </c>
      <c r="I46" s="5">
        <v>1</v>
      </c>
      <c r="J46" s="14">
        <f t="shared" si="6"/>
        <v>3.83</v>
      </c>
      <c r="K46" s="14">
        <f t="shared" si="7"/>
        <v>3.83</v>
      </c>
      <c r="L46" s="15"/>
      <c r="M46" s="16">
        <f t="shared" si="4"/>
        <v>0</v>
      </c>
      <c r="N46" s="17">
        <f t="shared" si="5"/>
        <v>0</v>
      </c>
    </row>
    <row r="47" spans="1:14" ht="22.15" customHeight="1" x14ac:dyDescent="0.45">
      <c r="A47" s="5" t="s">
        <v>94</v>
      </c>
      <c r="B47" s="5" t="s">
        <v>95</v>
      </c>
      <c r="C47" s="5" t="s">
        <v>66</v>
      </c>
      <c r="D47" s="5" t="s">
        <v>58</v>
      </c>
      <c r="E47" s="5" t="s">
        <v>59</v>
      </c>
      <c r="F47" s="5" t="s">
        <v>60</v>
      </c>
      <c r="G47" s="5">
        <v>3.83</v>
      </c>
      <c r="H47" s="5">
        <v>3.83</v>
      </c>
      <c r="I47" s="5">
        <v>1</v>
      </c>
      <c r="J47" s="14">
        <f t="shared" si="6"/>
        <v>3.83</v>
      </c>
      <c r="K47" s="14">
        <f t="shared" si="7"/>
        <v>3.83</v>
      </c>
      <c r="L47" s="15"/>
      <c r="M47" s="16">
        <f t="shared" si="4"/>
        <v>0</v>
      </c>
      <c r="N47" s="17">
        <f t="shared" si="5"/>
        <v>0</v>
      </c>
    </row>
    <row r="48" spans="1:14" ht="22.15" customHeight="1" x14ac:dyDescent="0.45">
      <c r="A48" s="5" t="s">
        <v>94</v>
      </c>
      <c r="B48" s="5" t="s">
        <v>96</v>
      </c>
      <c r="C48" s="5" t="s">
        <v>57</v>
      </c>
      <c r="D48" s="5" t="s">
        <v>58</v>
      </c>
      <c r="E48" s="5" t="s">
        <v>59</v>
      </c>
      <c r="F48" s="5" t="s">
        <v>60</v>
      </c>
      <c r="G48" s="21">
        <v>66699.27</v>
      </c>
      <c r="H48" s="21">
        <v>53168.06</v>
      </c>
      <c r="I48" s="5">
        <v>1</v>
      </c>
      <c r="J48" s="14">
        <f t="shared" si="6"/>
        <v>66699.27</v>
      </c>
      <c r="K48" s="14">
        <f t="shared" si="7"/>
        <v>53168.06</v>
      </c>
      <c r="L48" s="15"/>
      <c r="M48" s="16">
        <f t="shared" si="4"/>
        <v>13531.210000000006</v>
      </c>
      <c r="N48" s="17">
        <f t="shared" si="5"/>
        <v>0.25449884761640745</v>
      </c>
    </row>
    <row r="49" spans="1:14" ht="22.15" customHeight="1" x14ac:dyDescent="0.45">
      <c r="A49" s="5" t="s">
        <v>94</v>
      </c>
      <c r="B49" s="5" t="s">
        <v>97</v>
      </c>
      <c r="C49" s="5" t="s">
        <v>57</v>
      </c>
      <c r="D49" s="5" t="s">
        <v>58</v>
      </c>
      <c r="E49" s="5" t="s">
        <v>59</v>
      </c>
      <c r="F49" s="5" t="s">
        <v>60</v>
      </c>
      <c r="G49" s="21">
        <v>32214.85</v>
      </c>
      <c r="H49" s="21">
        <v>25901.95</v>
      </c>
      <c r="I49" s="5">
        <v>1</v>
      </c>
      <c r="J49" s="14">
        <f t="shared" si="6"/>
        <v>32214.85</v>
      </c>
      <c r="K49" s="14">
        <f t="shared" si="7"/>
        <v>25901.95</v>
      </c>
      <c r="L49" s="15"/>
      <c r="M49" s="16">
        <f t="shared" si="4"/>
        <v>6312.8999999999978</v>
      </c>
      <c r="N49" s="17">
        <f t="shared" si="5"/>
        <v>0.24372296294294435</v>
      </c>
    </row>
    <row r="50" spans="1:14" ht="22.15" customHeight="1" x14ac:dyDescent="0.45">
      <c r="A50" s="5" t="s">
        <v>94</v>
      </c>
      <c r="B50" s="5" t="s">
        <v>98</v>
      </c>
      <c r="C50" s="5" t="s">
        <v>69</v>
      </c>
      <c r="D50" s="5" t="s">
        <v>58</v>
      </c>
      <c r="E50" s="5" t="s">
        <v>59</v>
      </c>
      <c r="F50" s="5" t="s">
        <v>71</v>
      </c>
      <c r="G50" s="21">
        <v>19897</v>
      </c>
      <c r="H50" s="22">
        <v>20000</v>
      </c>
      <c r="I50" s="5">
        <v>1</v>
      </c>
      <c r="J50" s="14">
        <f t="shared" si="6"/>
        <v>19897</v>
      </c>
      <c r="K50" s="14">
        <f t="shared" si="7"/>
        <v>20000</v>
      </c>
      <c r="L50" s="15"/>
      <c r="M50" s="16">
        <f t="shared" si="4"/>
        <v>-103</v>
      </c>
      <c r="N50" s="17">
        <f t="shared" si="5"/>
        <v>-5.1500000000000001E-3</v>
      </c>
    </row>
    <row r="51" spans="1:14" ht="22.15" customHeight="1" x14ac:dyDescent="0.45">
      <c r="A51" s="5" t="s">
        <v>94</v>
      </c>
      <c r="B51" s="5" t="s">
        <v>99</v>
      </c>
      <c r="C51" s="5" t="s">
        <v>66</v>
      </c>
      <c r="D51" s="5" t="s">
        <v>58</v>
      </c>
      <c r="E51" s="5" t="s">
        <v>59</v>
      </c>
      <c r="F51" s="5" t="s">
        <v>60</v>
      </c>
      <c r="G51" s="21">
        <v>15916.18</v>
      </c>
      <c r="H51" s="21">
        <v>11177.8</v>
      </c>
      <c r="I51" s="5">
        <v>1</v>
      </c>
      <c r="J51" s="14">
        <f t="shared" si="6"/>
        <v>15916.18</v>
      </c>
      <c r="K51" s="14">
        <f t="shared" si="7"/>
        <v>11177.8</v>
      </c>
      <c r="L51" s="15"/>
      <c r="M51" s="16">
        <f t="shared" si="4"/>
        <v>4738.380000000001</v>
      </c>
      <c r="N51" s="17">
        <f t="shared" si="5"/>
        <v>0.42390989282327485</v>
      </c>
    </row>
    <row r="52" spans="1:14" ht="22.15" customHeight="1" x14ac:dyDescent="0.45">
      <c r="A52" s="5" t="s">
        <v>94</v>
      </c>
      <c r="B52" s="5" t="s">
        <v>100</v>
      </c>
      <c r="C52" s="5" t="s">
        <v>66</v>
      </c>
      <c r="D52" s="5" t="s">
        <v>58</v>
      </c>
      <c r="E52" s="5" t="s">
        <v>59</v>
      </c>
      <c r="F52" s="5" t="s">
        <v>60</v>
      </c>
      <c r="G52" s="21">
        <v>23276.19</v>
      </c>
      <c r="H52" s="21">
        <v>17500</v>
      </c>
      <c r="I52" s="5">
        <v>1</v>
      </c>
      <c r="J52" s="14">
        <f t="shared" si="6"/>
        <v>23276.19</v>
      </c>
      <c r="K52" s="14">
        <f t="shared" si="7"/>
        <v>17500</v>
      </c>
      <c r="L52" s="15"/>
      <c r="M52" s="16">
        <f t="shared" si="4"/>
        <v>5776.1899999999987</v>
      </c>
      <c r="N52" s="17">
        <f t="shared" si="5"/>
        <v>0.33006799999999992</v>
      </c>
    </row>
    <row r="53" spans="1:14" ht="22.15" customHeight="1" x14ac:dyDescent="0.45">
      <c r="A53" s="5" t="s">
        <v>101</v>
      </c>
      <c r="B53" s="5" t="s">
        <v>72</v>
      </c>
      <c r="C53" s="5" t="s">
        <v>57</v>
      </c>
      <c r="D53" s="5" t="s">
        <v>73</v>
      </c>
      <c r="E53" s="5" t="s">
        <v>59</v>
      </c>
      <c r="F53" s="5" t="s">
        <v>60</v>
      </c>
      <c r="G53" s="21">
        <v>44041.25</v>
      </c>
      <c r="H53" s="21">
        <v>25800</v>
      </c>
      <c r="I53" s="5">
        <v>1</v>
      </c>
      <c r="J53" s="14">
        <f t="shared" si="6"/>
        <v>44041.25</v>
      </c>
      <c r="K53" s="14">
        <f t="shared" si="7"/>
        <v>25800</v>
      </c>
      <c r="L53" s="15"/>
      <c r="M53" s="16">
        <f t="shared" si="4"/>
        <v>18241.25</v>
      </c>
      <c r="N53" s="17">
        <f t="shared" si="5"/>
        <v>0.70702519379844964</v>
      </c>
    </row>
    <row r="54" spans="1:14" ht="22.15" customHeight="1" x14ac:dyDescent="0.45">
      <c r="A54" s="5" t="s">
        <v>101</v>
      </c>
      <c r="B54" s="5" t="s">
        <v>74</v>
      </c>
      <c r="C54" s="5" t="s">
        <v>57</v>
      </c>
      <c r="D54" s="5" t="s">
        <v>73</v>
      </c>
      <c r="E54" s="5" t="s">
        <v>59</v>
      </c>
      <c r="F54" s="5" t="s">
        <v>60</v>
      </c>
      <c r="G54" s="21">
        <v>61289.25</v>
      </c>
      <c r="H54" s="21">
        <v>55000</v>
      </c>
      <c r="I54" s="5">
        <v>1</v>
      </c>
      <c r="J54" s="14">
        <f t="shared" si="6"/>
        <v>61289.25</v>
      </c>
      <c r="K54" s="14">
        <f t="shared" si="7"/>
        <v>55000</v>
      </c>
      <c r="L54" s="15"/>
      <c r="M54" s="16">
        <f t="shared" si="4"/>
        <v>6289.25</v>
      </c>
      <c r="N54" s="17">
        <f t="shared" si="5"/>
        <v>0.11434999999999999</v>
      </c>
    </row>
    <row r="55" spans="1:14" ht="22.15" customHeight="1" x14ac:dyDescent="0.45">
      <c r="A55" s="5" t="s">
        <v>101</v>
      </c>
      <c r="B55" s="24" t="s">
        <v>75</v>
      </c>
      <c r="C55" s="5" t="s">
        <v>57</v>
      </c>
      <c r="D55" s="5" t="s">
        <v>73</v>
      </c>
      <c r="E55" s="5" t="s">
        <v>59</v>
      </c>
      <c r="F55" s="5" t="s">
        <v>60</v>
      </c>
      <c r="G55" s="28">
        <v>102950.64</v>
      </c>
      <c r="H55" s="28">
        <v>94300</v>
      </c>
      <c r="I55" s="5">
        <v>1</v>
      </c>
      <c r="J55" s="14">
        <f t="shared" si="6"/>
        <v>102950.64</v>
      </c>
      <c r="K55" s="14">
        <f t="shared" si="7"/>
        <v>94300</v>
      </c>
      <c r="L55" s="25"/>
      <c r="M55" s="26"/>
      <c r="N55" s="27"/>
    </row>
    <row r="56" spans="1:14" ht="22.15" customHeight="1" x14ac:dyDescent="0.45">
      <c r="A56" s="5" t="s">
        <v>101</v>
      </c>
      <c r="B56" s="24" t="s">
        <v>77</v>
      </c>
      <c r="C56" s="24" t="s">
        <v>57</v>
      </c>
      <c r="D56" s="5" t="s">
        <v>78</v>
      </c>
      <c r="E56" s="5" t="s">
        <v>59</v>
      </c>
      <c r="F56" s="5" t="s">
        <v>60</v>
      </c>
      <c r="G56" s="28">
        <v>160999.82</v>
      </c>
      <c r="H56" s="28">
        <v>137600</v>
      </c>
      <c r="I56" s="5">
        <v>1</v>
      </c>
      <c r="J56" s="14">
        <f t="shared" si="6"/>
        <v>160999.82</v>
      </c>
      <c r="K56" s="14">
        <f t="shared" si="7"/>
        <v>137600</v>
      </c>
      <c r="L56" s="25"/>
      <c r="M56" s="26"/>
      <c r="N56" s="27"/>
    </row>
    <row r="57" spans="1:14" ht="22.15" customHeight="1" x14ac:dyDescent="0.45">
      <c r="A57" s="5" t="s">
        <v>101</v>
      </c>
      <c r="B57" s="24" t="s">
        <v>102</v>
      </c>
      <c r="C57" s="24" t="s">
        <v>57</v>
      </c>
      <c r="D57" s="5" t="s">
        <v>78</v>
      </c>
      <c r="E57" s="5" t="s">
        <v>59</v>
      </c>
      <c r="F57" s="5" t="s">
        <v>60</v>
      </c>
      <c r="G57" s="28">
        <v>10616.87</v>
      </c>
      <c r="H57" s="28">
        <v>12100</v>
      </c>
      <c r="I57" s="5">
        <v>1</v>
      </c>
      <c r="J57" s="14">
        <f t="shared" si="6"/>
        <v>10616.87</v>
      </c>
      <c r="K57" s="14">
        <f t="shared" si="7"/>
        <v>12100</v>
      </c>
      <c r="L57" s="25"/>
      <c r="M57" s="26"/>
      <c r="N57" s="27"/>
    </row>
    <row r="58" spans="1:14" ht="22.15" customHeight="1" x14ac:dyDescent="0.45">
      <c r="A58" s="5" t="s">
        <v>101</v>
      </c>
      <c r="B58" s="24" t="s">
        <v>103</v>
      </c>
      <c r="C58" s="24" t="s">
        <v>66</v>
      </c>
      <c r="D58" s="24" t="s">
        <v>58</v>
      </c>
      <c r="E58" s="24" t="s">
        <v>59</v>
      </c>
      <c r="F58" s="5" t="s">
        <v>60</v>
      </c>
      <c r="G58" s="28">
        <v>1296.3399999999999</v>
      </c>
      <c r="H58" s="28">
        <v>1200</v>
      </c>
      <c r="I58" s="5">
        <v>1</v>
      </c>
      <c r="J58" s="14">
        <f t="shared" si="6"/>
        <v>1296.3399999999999</v>
      </c>
      <c r="K58" s="14">
        <f t="shared" si="7"/>
        <v>1200</v>
      </c>
      <c r="L58" s="25"/>
      <c r="M58" s="26"/>
      <c r="N58" s="27"/>
    </row>
    <row r="59" spans="1:14" ht="22.15" customHeight="1" x14ac:dyDescent="0.45">
      <c r="A59" s="24" t="s">
        <v>104</v>
      </c>
      <c r="B59" s="24" t="s">
        <v>65</v>
      </c>
      <c r="C59" s="24" t="s">
        <v>66</v>
      </c>
      <c r="D59" s="24" t="s">
        <v>58</v>
      </c>
      <c r="E59" s="24" t="s">
        <v>59</v>
      </c>
      <c r="F59" s="5" t="s">
        <v>60</v>
      </c>
      <c r="G59" s="28">
        <v>4108.8500000000004</v>
      </c>
      <c r="H59" s="28">
        <v>3000</v>
      </c>
      <c r="I59" s="5">
        <v>1</v>
      </c>
      <c r="J59" s="14">
        <f t="shared" si="6"/>
        <v>4108.8500000000004</v>
      </c>
      <c r="K59" s="14">
        <f t="shared" si="7"/>
        <v>3000</v>
      </c>
      <c r="L59" s="25"/>
      <c r="M59" s="26"/>
      <c r="N59" s="27"/>
    </row>
    <row r="60" spans="1:14" ht="22.15" customHeight="1" x14ac:dyDescent="0.45">
      <c r="A60" s="24" t="s">
        <v>104</v>
      </c>
      <c r="B60" s="24" t="s">
        <v>79</v>
      </c>
      <c r="C60" s="24" t="s">
        <v>57</v>
      </c>
      <c r="D60" s="5" t="s">
        <v>73</v>
      </c>
      <c r="E60" s="5" t="s">
        <v>59</v>
      </c>
      <c r="F60" s="5" t="s">
        <v>60</v>
      </c>
      <c r="G60" s="28">
        <v>16947.36</v>
      </c>
      <c r="H60" s="28">
        <v>12800</v>
      </c>
      <c r="I60" s="5">
        <v>1</v>
      </c>
      <c r="J60" s="14">
        <f t="shared" si="6"/>
        <v>16947.36</v>
      </c>
      <c r="K60" s="14">
        <f t="shared" si="7"/>
        <v>12800</v>
      </c>
      <c r="L60" s="25"/>
      <c r="M60" s="26"/>
      <c r="N60" s="27"/>
    </row>
    <row r="61" spans="1:14" ht="22.15" customHeight="1" x14ac:dyDescent="0.45">
      <c r="A61" s="24" t="s">
        <v>104</v>
      </c>
      <c r="B61" s="24" t="s">
        <v>105</v>
      </c>
      <c r="C61" s="24" t="s">
        <v>57</v>
      </c>
      <c r="D61" s="5" t="s">
        <v>73</v>
      </c>
      <c r="E61" s="5" t="s">
        <v>59</v>
      </c>
      <c r="F61" s="5" t="s">
        <v>60</v>
      </c>
      <c r="G61" s="28">
        <v>26937.05</v>
      </c>
      <c r="H61" s="28">
        <v>17400</v>
      </c>
      <c r="I61" s="5">
        <v>1</v>
      </c>
      <c r="J61" s="14">
        <f t="shared" si="6"/>
        <v>26937.05</v>
      </c>
      <c r="K61" s="14">
        <f t="shared" si="7"/>
        <v>17400</v>
      </c>
      <c r="L61" s="25"/>
      <c r="M61" s="26"/>
      <c r="N61" s="27"/>
    </row>
    <row r="62" spans="1:14" ht="22.15" customHeight="1" x14ac:dyDescent="0.45">
      <c r="A62" s="24" t="s">
        <v>104</v>
      </c>
      <c r="B62" s="24" t="s">
        <v>72</v>
      </c>
      <c r="C62" s="24" t="s">
        <v>57</v>
      </c>
      <c r="D62" s="5" t="s">
        <v>73</v>
      </c>
      <c r="E62" s="5" t="s">
        <v>59</v>
      </c>
      <c r="F62" s="5" t="s">
        <v>60</v>
      </c>
      <c r="G62" s="28">
        <v>22790.720000000001</v>
      </c>
      <c r="H62" s="29">
        <v>13700</v>
      </c>
      <c r="I62" s="5">
        <v>1</v>
      </c>
      <c r="J62" s="14">
        <f t="shared" si="6"/>
        <v>22790.720000000001</v>
      </c>
      <c r="K62" s="14">
        <f t="shared" si="7"/>
        <v>13700</v>
      </c>
      <c r="L62" s="25"/>
      <c r="M62" s="26"/>
      <c r="N62" s="27"/>
    </row>
    <row r="63" spans="1:14" ht="22.15" customHeight="1" x14ac:dyDescent="0.45">
      <c r="A63" s="24" t="s">
        <v>104</v>
      </c>
      <c r="B63" s="24" t="s">
        <v>77</v>
      </c>
      <c r="C63" s="24" t="s">
        <v>57</v>
      </c>
      <c r="D63" s="24" t="s">
        <v>78</v>
      </c>
      <c r="E63" s="5" t="s">
        <v>59</v>
      </c>
      <c r="F63" s="5" t="s">
        <v>60</v>
      </c>
      <c r="G63" s="28">
        <v>51227.25</v>
      </c>
      <c r="H63" s="28">
        <v>43000</v>
      </c>
      <c r="I63" s="5">
        <v>1</v>
      </c>
      <c r="J63" s="14">
        <f t="shared" si="6"/>
        <v>51227.25</v>
      </c>
      <c r="K63" s="14">
        <f t="shared" si="7"/>
        <v>43000</v>
      </c>
      <c r="L63" s="25"/>
      <c r="M63" s="26"/>
      <c r="N63" s="27"/>
    </row>
    <row r="64" spans="1:14" ht="22.15" customHeight="1" x14ac:dyDescent="0.45">
      <c r="A64" s="24" t="s">
        <v>106</v>
      </c>
      <c r="B64" s="24" t="s">
        <v>79</v>
      </c>
      <c r="C64" s="24" t="s">
        <v>57</v>
      </c>
      <c r="D64" s="5" t="s">
        <v>73</v>
      </c>
      <c r="E64" s="5" t="s">
        <v>59</v>
      </c>
      <c r="F64" s="5" t="s">
        <v>60</v>
      </c>
      <c r="G64" s="28">
        <v>26846.82</v>
      </c>
      <c r="H64" s="28">
        <v>20600</v>
      </c>
      <c r="I64" s="5">
        <v>1</v>
      </c>
      <c r="J64" s="14">
        <f t="shared" si="6"/>
        <v>26846.82</v>
      </c>
      <c r="K64" s="14">
        <f t="shared" si="7"/>
        <v>20600</v>
      </c>
      <c r="L64" s="25"/>
      <c r="M64" s="26"/>
      <c r="N64" s="27"/>
    </row>
    <row r="65" spans="1:14" ht="22.15" customHeight="1" x14ac:dyDescent="0.45">
      <c r="A65" s="24" t="s">
        <v>106</v>
      </c>
      <c r="B65" s="24" t="s">
        <v>77</v>
      </c>
      <c r="C65" s="24" t="s">
        <v>57</v>
      </c>
      <c r="D65" s="24" t="s">
        <v>78</v>
      </c>
      <c r="E65" s="5" t="s">
        <v>59</v>
      </c>
      <c r="F65" s="5" t="s">
        <v>60</v>
      </c>
      <c r="G65" s="28">
        <v>42050.239999999998</v>
      </c>
      <c r="H65" s="28">
        <v>35900</v>
      </c>
      <c r="I65" s="5">
        <v>1</v>
      </c>
      <c r="J65" s="14">
        <f t="shared" si="6"/>
        <v>42050.239999999998</v>
      </c>
      <c r="K65" s="14">
        <f t="shared" si="7"/>
        <v>35900</v>
      </c>
      <c r="L65" s="25"/>
      <c r="M65" s="26"/>
      <c r="N65" s="27"/>
    </row>
    <row r="66" spans="1:14" ht="22.15" customHeight="1" x14ac:dyDescent="0.45">
      <c r="A66" s="24" t="s">
        <v>106</v>
      </c>
      <c r="B66" s="24" t="s">
        <v>107</v>
      </c>
      <c r="C66" s="24" t="s">
        <v>69</v>
      </c>
      <c r="D66" s="24" t="s">
        <v>58</v>
      </c>
      <c r="E66" s="24" t="s">
        <v>59</v>
      </c>
      <c r="F66" s="24" t="s">
        <v>108</v>
      </c>
      <c r="G66" s="28">
        <v>23922.5</v>
      </c>
      <c r="H66" s="29">
        <v>25000</v>
      </c>
      <c r="I66" s="5">
        <v>1</v>
      </c>
      <c r="J66" s="14">
        <f t="shared" si="6"/>
        <v>23922.5</v>
      </c>
      <c r="K66" s="14">
        <f t="shared" si="7"/>
        <v>25000</v>
      </c>
      <c r="L66" s="25"/>
      <c r="M66" s="26"/>
      <c r="N66" s="27"/>
    </row>
    <row r="67" spans="1:14" ht="22.15" customHeight="1" x14ac:dyDescent="0.45">
      <c r="A67" s="24" t="s">
        <v>109</v>
      </c>
      <c r="B67" s="24" t="s">
        <v>74</v>
      </c>
      <c r="C67" s="24" t="s">
        <v>57</v>
      </c>
      <c r="D67" s="5" t="s">
        <v>73</v>
      </c>
      <c r="E67" s="5" t="s">
        <v>59</v>
      </c>
      <c r="F67" s="5" t="s">
        <v>60</v>
      </c>
      <c r="G67" s="28">
        <v>94261.19</v>
      </c>
      <c r="H67" s="28">
        <v>90100</v>
      </c>
      <c r="I67" s="5">
        <v>1</v>
      </c>
      <c r="J67" s="14">
        <f t="shared" si="6"/>
        <v>94261.19</v>
      </c>
      <c r="K67" s="14">
        <f t="shared" si="7"/>
        <v>90100</v>
      </c>
      <c r="L67" s="25"/>
      <c r="M67" s="26"/>
      <c r="N67" s="27"/>
    </row>
    <row r="68" spans="1:14" ht="22.15" customHeight="1" x14ac:dyDescent="0.45">
      <c r="A68" s="24" t="s">
        <v>109</v>
      </c>
      <c r="B68" s="24" t="s">
        <v>75</v>
      </c>
      <c r="C68" s="24" t="s">
        <v>57</v>
      </c>
      <c r="D68" s="5" t="s">
        <v>73</v>
      </c>
      <c r="E68" s="5" t="s">
        <v>59</v>
      </c>
      <c r="F68" s="5" t="s">
        <v>60</v>
      </c>
      <c r="G68" s="28">
        <v>136256.26</v>
      </c>
      <c r="H68" s="28">
        <v>128000</v>
      </c>
      <c r="I68" s="5">
        <v>1</v>
      </c>
      <c r="J68" s="14">
        <f t="shared" si="6"/>
        <v>136256.26</v>
      </c>
      <c r="K68" s="14">
        <f t="shared" si="7"/>
        <v>128000</v>
      </c>
      <c r="L68" s="25"/>
      <c r="M68" s="26"/>
      <c r="N68" s="27"/>
    </row>
    <row r="69" spans="1:14" ht="22.15" customHeight="1" x14ac:dyDescent="0.45">
      <c r="A69" s="24" t="s">
        <v>109</v>
      </c>
      <c r="B69" s="24" t="s">
        <v>95</v>
      </c>
      <c r="C69" s="24" t="s">
        <v>66</v>
      </c>
      <c r="D69" s="24" t="s">
        <v>58</v>
      </c>
      <c r="E69" s="5" t="s">
        <v>59</v>
      </c>
      <c r="F69" s="5" t="s">
        <v>60</v>
      </c>
      <c r="G69" s="24">
        <v>4.32</v>
      </c>
      <c r="H69" s="24">
        <v>4.32</v>
      </c>
      <c r="I69" s="5">
        <v>1</v>
      </c>
      <c r="J69" s="14">
        <f t="shared" si="6"/>
        <v>4.32</v>
      </c>
      <c r="K69" s="14">
        <f t="shared" si="7"/>
        <v>4.32</v>
      </c>
      <c r="L69" s="25"/>
      <c r="M69" s="26"/>
      <c r="N69" s="27"/>
    </row>
    <row r="70" spans="1:14" ht="22.15" customHeight="1" x14ac:dyDescent="0.45">
      <c r="A70" s="24" t="s">
        <v>110</v>
      </c>
      <c r="B70" s="24" t="s">
        <v>85</v>
      </c>
      <c r="C70" s="24" t="s">
        <v>66</v>
      </c>
      <c r="D70" s="5" t="s">
        <v>73</v>
      </c>
      <c r="E70" s="5" t="s">
        <v>59</v>
      </c>
      <c r="F70" s="5" t="s">
        <v>60</v>
      </c>
      <c r="G70" s="28">
        <v>3474.65</v>
      </c>
      <c r="H70" s="24">
        <v>2500</v>
      </c>
      <c r="I70" s="5">
        <v>1</v>
      </c>
      <c r="J70" s="14">
        <f t="shared" si="6"/>
        <v>3474.65</v>
      </c>
      <c r="K70" s="14">
        <f t="shared" si="7"/>
        <v>2500</v>
      </c>
      <c r="L70" s="25"/>
      <c r="M70" s="26"/>
      <c r="N70" s="27"/>
    </row>
    <row r="71" spans="1:14" ht="22.15" customHeight="1" x14ac:dyDescent="0.45">
      <c r="A71" s="24" t="s">
        <v>110</v>
      </c>
      <c r="B71" s="24" t="s">
        <v>111</v>
      </c>
      <c r="C71" s="24" t="s">
        <v>66</v>
      </c>
      <c r="D71" s="5" t="s">
        <v>73</v>
      </c>
      <c r="E71" s="5" t="s">
        <v>59</v>
      </c>
      <c r="F71" s="5" t="s">
        <v>60</v>
      </c>
      <c r="G71" s="29">
        <v>34455</v>
      </c>
      <c r="H71" s="28">
        <v>23935.360000000001</v>
      </c>
      <c r="I71" s="5">
        <v>1</v>
      </c>
      <c r="J71" s="14">
        <f t="shared" si="6"/>
        <v>34455</v>
      </c>
      <c r="K71" s="14">
        <f t="shared" si="7"/>
        <v>23935.360000000001</v>
      </c>
      <c r="L71" s="25"/>
      <c r="M71" s="26"/>
      <c r="N71" s="27"/>
    </row>
    <row r="72" spans="1:14" ht="22.15" customHeight="1" x14ac:dyDescent="0.45">
      <c r="A72" s="24" t="s">
        <v>110</v>
      </c>
      <c r="B72" s="24" t="s">
        <v>107</v>
      </c>
      <c r="C72" s="24" t="s">
        <v>69</v>
      </c>
      <c r="D72" s="24" t="s">
        <v>58</v>
      </c>
      <c r="E72" s="24" t="s">
        <v>59</v>
      </c>
      <c r="F72" s="24" t="s">
        <v>108</v>
      </c>
      <c r="G72" s="24">
        <v>25.6</v>
      </c>
      <c r="H72" s="24">
        <v>20000</v>
      </c>
      <c r="I72" s="5">
        <v>4</v>
      </c>
      <c r="J72" s="14">
        <f t="shared" si="6"/>
        <v>102.4</v>
      </c>
      <c r="K72" s="14">
        <f t="shared" si="7"/>
        <v>80000</v>
      </c>
      <c r="L72" s="25"/>
      <c r="M72" s="26"/>
      <c r="N72" s="27"/>
    </row>
    <row r="73" spans="1:14" ht="22.15" customHeight="1" x14ac:dyDescent="0.45">
      <c r="A73" s="24" t="s">
        <v>110</v>
      </c>
      <c r="B73" s="24" t="s">
        <v>95</v>
      </c>
      <c r="C73" s="24" t="s">
        <v>66</v>
      </c>
      <c r="D73" s="24" t="s">
        <v>58</v>
      </c>
      <c r="E73" s="24" t="s">
        <v>59</v>
      </c>
      <c r="F73" s="24" t="s">
        <v>108</v>
      </c>
      <c r="G73" s="24">
        <v>34.49</v>
      </c>
      <c r="H73" s="24">
        <v>34.49</v>
      </c>
      <c r="I73" s="5">
        <v>4</v>
      </c>
      <c r="J73" s="14">
        <f t="shared" si="6"/>
        <v>137.96</v>
      </c>
      <c r="K73" s="14">
        <f t="shared" si="7"/>
        <v>137.96</v>
      </c>
      <c r="L73" s="25"/>
      <c r="M73" s="26"/>
      <c r="N73" s="27"/>
    </row>
    <row r="74" spans="1:14" ht="22.15" customHeight="1" x14ac:dyDescent="0.45">
      <c r="A74" s="24" t="s">
        <v>110</v>
      </c>
      <c r="B74" s="24" t="s">
        <v>95</v>
      </c>
      <c r="C74" s="24" t="s">
        <v>66</v>
      </c>
      <c r="D74" s="24" t="s">
        <v>58</v>
      </c>
      <c r="E74" s="24" t="s">
        <v>59</v>
      </c>
      <c r="F74" s="24" t="s">
        <v>60</v>
      </c>
      <c r="G74" s="24">
        <v>6.24</v>
      </c>
      <c r="H74" s="24">
        <v>6.24</v>
      </c>
      <c r="I74" s="5">
        <v>1</v>
      </c>
      <c r="J74" s="14">
        <f t="shared" si="6"/>
        <v>6.24</v>
      </c>
      <c r="K74" s="14">
        <f t="shared" si="7"/>
        <v>6.24</v>
      </c>
      <c r="L74" s="25"/>
      <c r="M74" s="26"/>
      <c r="N74" s="27"/>
    </row>
    <row r="75" spans="1:14" ht="22.15" customHeight="1" x14ac:dyDescent="0.45">
      <c r="A75" s="24" t="s">
        <v>112</v>
      </c>
      <c r="B75" s="24" t="s">
        <v>77</v>
      </c>
      <c r="C75" s="24" t="s">
        <v>57</v>
      </c>
      <c r="D75" s="24" t="s">
        <v>78</v>
      </c>
      <c r="E75" s="24" t="s">
        <v>62</v>
      </c>
      <c r="F75" s="24" t="s">
        <v>60</v>
      </c>
      <c r="G75" s="28"/>
      <c r="H75" s="28"/>
      <c r="I75" s="5">
        <v>1</v>
      </c>
      <c r="J75" s="14">
        <f t="shared" si="6"/>
        <v>0</v>
      </c>
      <c r="K75" s="14">
        <f t="shared" si="7"/>
        <v>0</v>
      </c>
      <c r="L75" s="25"/>
      <c r="M75" s="26"/>
      <c r="N75" s="27"/>
    </row>
    <row r="76" spans="1:14" ht="22.15" customHeight="1" x14ac:dyDescent="0.45">
      <c r="A76" s="24" t="s">
        <v>112</v>
      </c>
      <c r="B76" s="24" t="s">
        <v>99</v>
      </c>
      <c r="C76" s="24" t="s">
        <v>66</v>
      </c>
      <c r="D76" s="24" t="s">
        <v>58</v>
      </c>
      <c r="E76" s="24" t="s">
        <v>59</v>
      </c>
      <c r="F76" s="24" t="s">
        <v>60</v>
      </c>
      <c r="G76" s="28">
        <v>17731.580000000002</v>
      </c>
      <c r="H76" s="28">
        <v>14415.3</v>
      </c>
      <c r="I76" s="5">
        <v>1</v>
      </c>
      <c r="J76" s="14">
        <f t="shared" si="6"/>
        <v>17731.580000000002</v>
      </c>
      <c r="K76" s="14">
        <f t="shared" si="7"/>
        <v>14415.3</v>
      </c>
      <c r="L76" s="25"/>
      <c r="M76" s="26"/>
      <c r="N76" s="27"/>
    </row>
    <row r="77" spans="1:14" ht="22.15" customHeight="1" x14ac:dyDescent="0.45">
      <c r="A77" s="24" t="s">
        <v>112</v>
      </c>
      <c r="B77" s="24" t="s">
        <v>100</v>
      </c>
      <c r="C77" s="24" t="s">
        <v>66</v>
      </c>
      <c r="D77" s="24" t="s">
        <v>58</v>
      </c>
      <c r="E77" s="24" t="s">
        <v>59</v>
      </c>
      <c r="F77" s="24" t="s">
        <v>60</v>
      </c>
      <c r="G77" s="28">
        <v>23349.35</v>
      </c>
      <c r="H77" s="28">
        <v>17500</v>
      </c>
      <c r="I77" s="5">
        <v>1</v>
      </c>
      <c r="J77" s="14">
        <f t="shared" si="6"/>
        <v>23349.35</v>
      </c>
      <c r="K77" s="14">
        <f t="shared" si="7"/>
        <v>17500</v>
      </c>
      <c r="L77" s="25"/>
      <c r="M77" s="26"/>
      <c r="N77" s="27"/>
    </row>
    <row r="78" spans="1:14" ht="22.15" customHeight="1" x14ac:dyDescent="0.45">
      <c r="A78" s="24" t="s">
        <v>113</v>
      </c>
      <c r="B78" s="24" t="s">
        <v>72</v>
      </c>
      <c r="C78" s="24" t="s">
        <v>57</v>
      </c>
      <c r="D78" s="24" t="s">
        <v>73</v>
      </c>
      <c r="E78" s="24" t="s">
        <v>59</v>
      </c>
      <c r="F78" s="24" t="s">
        <v>60</v>
      </c>
      <c r="G78" s="28">
        <v>15096.71</v>
      </c>
      <c r="H78" s="28">
        <v>9100</v>
      </c>
      <c r="I78" s="5">
        <v>1</v>
      </c>
      <c r="J78" s="14">
        <f t="shared" si="6"/>
        <v>15096.71</v>
      </c>
      <c r="K78" s="14">
        <f t="shared" si="7"/>
        <v>9100</v>
      </c>
      <c r="L78" s="25"/>
      <c r="M78" s="26"/>
      <c r="N78" s="27"/>
    </row>
    <row r="79" spans="1:14" ht="22.15" customHeight="1" x14ac:dyDescent="0.45">
      <c r="A79" s="24" t="s">
        <v>113</v>
      </c>
      <c r="B79" s="30" t="s">
        <v>91</v>
      </c>
      <c r="C79" s="24" t="s">
        <v>66</v>
      </c>
      <c r="D79" s="24" t="s">
        <v>73</v>
      </c>
      <c r="E79" s="24" t="s">
        <v>59</v>
      </c>
      <c r="F79" s="24" t="s">
        <v>60</v>
      </c>
      <c r="G79" s="24">
        <v>328.65</v>
      </c>
      <c r="H79" s="28">
        <v>21200</v>
      </c>
      <c r="I79" s="5">
        <v>1</v>
      </c>
      <c r="J79" s="14">
        <f t="shared" si="6"/>
        <v>328.65</v>
      </c>
      <c r="K79" s="14">
        <f t="shared" si="7"/>
        <v>21200</v>
      </c>
      <c r="L79" s="25"/>
      <c r="M79" s="26"/>
      <c r="N79" s="27"/>
    </row>
    <row r="80" spans="1:14" ht="22.15" customHeight="1" x14ac:dyDescent="0.45">
      <c r="A80" s="24" t="s">
        <v>113</v>
      </c>
      <c r="B80" s="24" t="s">
        <v>111</v>
      </c>
      <c r="C80" s="24" t="s">
        <v>66</v>
      </c>
      <c r="D80" s="24" t="s">
        <v>73</v>
      </c>
      <c r="E80" s="24" t="s">
        <v>59</v>
      </c>
      <c r="F80" s="24" t="s">
        <v>60</v>
      </c>
      <c r="G80" s="28">
        <v>39940.31</v>
      </c>
      <c r="H80" s="28">
        <v>26973.19</v>
      </c>
      <c r="I80" s="5">
        <v>1</v>
      </c>
      <c r="J80" s="14">
        <f t="shared" si="6"/>
        <v>39940.31</v>
      </c>
      <c r="K80" s="14">
        <f t="shared" si="7"/>
        <v>26973.19</v>
      </c>
      <c r="L80" s="25"/>
      <c r="M80" s="26"/>
      <c r="N80" s="27"/>
    </row>
    <row r="81" spans="1:14" ht="22.15" customHeight="1" x14ac:dyDescent="0.45">
      <c r="A81" s="24" t="s">
        <v>113</v>
      </c>
      <c r="B81" s="24" t="s">
        <v>95</v>
      </c>
      <c r="C81" s="24" t="s">
        <v>66</v>
      </c>
      <c r="D81" s="24" t="s">
        <v>58</v>
      </c>
      <c r="E81" s="24" t="s">
        <v>59</v>
      </c>
      <c r="F81" s="24" t="s">
        <v>60</v>
      </c>
      <c r="G81" s="24">
        <v>822.89</v>
      </c>
      <c r="H81" s="24">
        <v>822.89</v>
      </c>
      <c r="I81" s="5">
        <v>1</v>
      </c>
      <c r="J81" s="14">
        <f t="shared" si="6"/>
        <v>822.89</v>
      </c>
      <c r="K81" s="14">
        <f t="shared" si="7"/>
        <v>822.89</v>
      </c>
      <c r="L81" s="25"/>
      <c r="M81" s="26"/>
      <c r="N81" s="27"/>
    </row>
    <row r="82" spans="1:14" ht="22.15" customHeight="1" x14ac:dyDescent="0.45">
      <c r="A82" s="24" t="s">
        <v>113</v>
      </c>
      <c r="B82" s="24" t="s">
        <v>95</v>
      </c>
      <c r="C82" s="24" t="s">
        <v>66</v>
      </c>
      <c r="D82" s="24" t="s">
        <v>58</v>
      </c>
      <c r="E82" s="24" t="s">
        <v>59</v>
      </c>
      <c r="F82" s="24" t="s">
        <v>60</v>
      </c>
      <c r="G82" s="24">
        <v>5.37</v>
      </c>
      <c r="H82" s="24">
        <v>5.37</v>
      </c>
      <c r="I82" s="5">
        <v>1</v>
      </c>
      <c r="J82" s="14">
        <f t="shared" si="6"/>
        <v>5.37</v>
      </c>
      <c r="K82" s="14">
        <f t="shared" si="7"/>
        <v>5.37</v>
      </c>
      <c r="L82" s="25"/>
      <c r="M82" s="26"/>
      <c r="N82" s="27"/>
    </row>
    <row r="83" spans="1:14" ht="22.15" customHeight="1" x14ac:dyDescent="0.45">
      <c r="A83" s="24" t="s">
        <v>113</v>
      </c>
      <c r="B83" s="24" t="s">
        <v>77</v>
      </c>
      <c r="C83" s="24" t="s">
        <v>57</v>
      </c>
      <c r="D83" s="24" t="s">
        <v>78</v>
      </c>
      <c r="E83" s="24" t="s">
        <v>59</v>
      </c>
      <c r="F83" s="24" t="s">
        <v>60</v>
      </c>
      <c r="G83" s="28">
        <v>56444.42</v>
      </c>
      <c r="H83" s="28">
        <v>42000</v>
      </c>
      <c r="I83" s="5">
        <v>1</v>
      </c>
      <c r="J83" s="14">
        <f t="shared" si="6"/>
        <v>56444.42</v>
      </c>
      <c r="K83" s="14">
        <f t="shared" si="7"/>
        <v>42000</v>
      </c>
      <c r="L83" s="25"/>
      <c r="M83" s="26"/>
      <c r="N83" s="27"/>
    </row>
    <row r="84" spans="1:14" ht="22.15" customHeight="1" x14ac:dyDescent="0.45">
      <c r="A84" s="24" t="s">
        <v>114</v>
      </c>
      <c r="B84" s="24" t="s">
        <v>80</v>
      </c>
      <c r="C84" s="24" t="s">
        <v>66</v>
      </c>
      <c r="D84" s="24" t="s">
        <v>73</v>
      </c>
      <c r="E84" s="24" t="s">
        <v>59</v>
      </c>
      <c r="F84" s="24" t="s">
        <v>60</v>
      </c>
      <c r="G84" s="28">
        <v>1825.43</v>
      </c>
      <c r="H84" s="28">
        <v>1500</v>
      </c>
      <c r="I84" s="5">
        <v>1</v>
      </c>
      <c r="J84" s="14">
        <f t="shared" si="6"/>
        <v>1825.43</v>
      </c>
      <c r="K84" s="14">
        <f t="shared" si="7"/>
        <v>1500</v>
      </c>
      <c r="L84" s="25"/>
      <c r="M84" s="26"/>
      <c r="N84" s="27"/>
    </row>
    <row r="85" spans="1:14" ht="22.15" customHeight="1" x14ac:dyDescent="0.45">
      <c r="A85" s="24" t="s">
        <v>114</v>
      </c>
      <c r="B85" s="24" t="s">
        <v>111</v>
      </c>
      <c r="C85" s="24" t="s">
        <v>66</v>
      </c>
      <c r="D85" s="24" t="s">
        <v>73</v>
      </c>
      <c r="E85" s="24" t="s">
        <v>59</v>
      </c>
      <c r="F85" s="24" t="s">
        <v>60</v>
      </c>
      <c r="G85" s="28">
        <v>3451.7</v>
      </c>
      <c r="H85" s="28">
        <v>1990</v>
      </c>
      <c r="I85" s="5">
        <v>1</v>
      </c>
      <c r="J85" s="14">
        <f t="shared" si="6"/>
        <v>3451.7</v>
      </c>
      <c r="K85" s="14">
        <f t="shared" si="7"/>
        <v>1990</v>
      </c>
      <c r="L85" s="25"/>
      <c r="M85" s="26"/>
      <c r="N85" s="27"/>
    </row>
    <row r="86" spans="1:14" ht="22.15" customHeight="1" x14ac:dyDescent="0.45">
      <c r="A86" s="24" t="s">
        <v>114</v>
      </c>
      <c r="B86" s="24" t="s">
        <v>77</v>
      </c>
      <c r="C86" s="24" t="s">
        <v>57</v>
      </c>
      <c r="D86" s="24" t="s">
        <v>78</v>
      </c>
      <c r="E86" s="24" t="s">
        <v>59</v>
      </c>
      <c r="F86" s="24" t="s">
        <v>60</v>
      </c>
      <c r="G86" s="28">
        <v>13073.77</v>
      </c>
      <c r="H86" s="28">
        <v>10000</v>
      </c>
      <c r="I86" s="5">
        <v>1</v>
      </c>
      <c r="J86" s="14">
        <f t="shared" si="6"/>
        <v>13073.77</v>
      </c>
      <c r="K86" s="14">
        <f t="shared" si="7"/>
        <v>10000</v>
      </c>
      <c r="L86" s="25"/>
      <c r="M86" s="26"/>
      <c r="N86" s="27"/>
    </row>
    <row r="87" spans="1:14" ht="22.15" customHeight="1" x14ac:dyDescent="0.45">
      <c r="A87" s="24" t="s">
        <v>114</v>
      </c>
      <c r="B87" s="24" t="s">
        <v>95</v>
      </c>
      <c r="C87" s="24" t="s">
        <v>66</v>
      </c>
      <c r="D87" s="24" t="s">
        <v>58</v>
      </c>
      <c r="E87" s="24" t="s">
        <v>59</v>
      </c>
      <c r="F87" s="24" t="s">
        <v>60</v>
      </c>
      <c r="G87" s="24">
        <v>12.1</v>
      </c>
      <c r="H87" s="24">
        <v>12.1</v>
      </c>
      <c r="I87" s="5">
        <v>1</v>
      </c>
      <c r="J87" s="14">
        <f t="shared" si="6"/>
        <v>12.1</v>
      </c>
      <c r="K87" s="14">
        <f t="shared" si="7"/>
        <v>12.1</v>
      </c>
      <c r="L87" s="25"/>
      <c r="M87" s="26"/>
      <c r="N87" s="27"/>
    </row>
    <row r="88" spans="1:14" ht="22.15" customHeight="1" x14ac:dyDescent="0.45">
      <c r="A88" s="24" t="s">
        <v>114</v>
      </c>
      <c r="B88" s="24" t="s">
        <v>95</v>
      </c>
      <c r="C88" s="24" t="s">
        <v>66</v>
      </c>
      <c r="D88" s="24" t="s">
        <v>58</v>
      </c>
      <c r="E88" s="24" t="s">
        <v>59</v>
      </c>
      <c r="F88" s="24" t="s">
        <v>60</v>
      </c>
      <c r="G88" s="24">
        <v>10.5</v>
      </c>
      <c r="H88" s="24">
        <v>10.5</v>
      </c>
      <c r="I88" s="5">
        <v>1</v>
      </c>
      <c r="J88" s="14">
        <f t="shared" si="6"/>
        <v>10.5</v>
      </c>
      <c r="K88" s="14">
        <f t="shared" si="7"/>
        <v>10.5</v>
      </c>
      <c r="L88" s="25"/>
      <c r="M88" s="26"/>
      <c r="N88" s="27"/>
    </row>
    <row r="89" spans="1:14" ht="26.1" customHeight="1" x14ac:dyDescent="0.45">
      <c r="A89" s="18" t="s">
        <v>115</v>
      </c>
      <c r="B89" s="18" t="s">
        <v>0</v>
      </c>
      <c r="C89" s="18" t="s">
        <v>0</v>
      </c>
      <c r="D89" s="18" t="s">
        <v>0</v>
      </c>
      <c r="E89" s="18" t="s">
        <v>0</v>
      </c>
      <c r="F89" s="18" t="s">
        <v>0</v>
      </c>
      <c r="G89" s="18" t="s">
        <v>0</v>
      </c>
      <c r="H89" s="18" t="s">
        <v>0</v>
      </c>
      <c r="I89" s="18" t="s">
        <v>0</v>
      </c>
      <c r="J89" s="19">
        <f>SUM(J5:J54)</f>
        <v>1872608.537</v>
      </c>
      <c r="K89" s="19">
        <f>SUM(K5:K54)</f>
        <v>1799825.0230000003</v>
      </c>
      <c r="L89" s="18" t="s">
        <v>0</v>
      </c>
      <c r="M89" s="19">
        <f>SUM(M5:M54)</f>
        <v>72783.513999999996</v>
      </c>
      <c r="N89" s="20">
        <f>IF(SUM(K5:K54)&gt;0,SUM(M5:M54)/SUM(K5:K54),0)</f>
        <v>4.0439216629337853E-2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88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88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88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88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READ ME FIRST</vt:lpstr>
      <vt:lpstr>Portfolio Data Entry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2026-05-19T08:11:32Z</dcterms:created>
  <dcterms:modified xsi:type="dcterms:W3CDTF">2026-06-04T00:15:39Z</dcterms:modified>
  <cp:category/>
  <cp:contentStatus/>
</cp:coreProperties>
</file>