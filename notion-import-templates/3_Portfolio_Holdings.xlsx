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filterPrivacy="1"/>
  <xr:revisionPtr revIDLastSave="115" documentId="13_ncr:1_{52A364DC-9654-41CE-AD41-F2E07BC9A8E5}" xr6:coauthVersionLast="47" xr6:coauthVersionMax="47" xr10:uidLastSave="{BA4D3274-F9F2-4AB4-B380-3EE119B2623F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2" l="1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N47" i="2" s="1"/>
  <c r="J47" i="2"/>
  <c r="M47" i="2" s="1"/>
  <c r="K46" i="2"/>
  <c r="J46" i="2"/>
  <c r="K45" i="2"/>
  <c r="N45" i="2" s="1"/>
  <c r="J45" i="2"/>
  <c r="K44" i="2"/>
  <c r="N44" i="2" s="1"/>
  <c r="J44" i="2"/>
  <c r="K43" i="2"/>
  <c r="N43" i="2" s="1"/>
  <c r="J43" i="2"/>
  <c r="M43" i="2" s="1"/>
  <c r="K42" i="2"/>
  <c r="N42" i="2" s="1"/>
  <c r="J42" i="2"/>
  <c r="K41" i="2"/>
  <c r="N41" i="2" s="1"/>
  <c r="J41" i="2"/>
  <c r="M41" i="2" s="1"/>
  <c r="K40" i="2"/>
  <c r="N40" i="2" s="1"/>
  <c r="J40" i="2"/>
  <c r="M40" i="2" s="1"/>
  <c r="K39" i="2"/>
  <c r="N39" i="2" s="1"/>
  <c r="J39" i="2"/>
  <c r="M39" i="2" s="1"/>
  <c r="K38" i="2"/>
  <c r="J38" i="2"/>
  <c r="K37" i="2"/>
  <c r="J37" i="2"/>
  <c r="K36" i="2"/>
  <c r="N36" i="2" s="1"/>
  <c r="J36" i="2"/>
  <c r="K35" i="2"/>
  <c r="N35" i="2" s="1"/>
  <c r="J35" i="2"/>
  <c r="K34" i="2"/>
  <c r="N34" i="2" s="1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N27" i="2" s="1"/>
  <c r="J27" i="2"/>
  <c r="K26" i="2"/>
  <c r="J26" i="2"/>
  <c r="K25" i="2"/>
  <c r="J25" i="2"/>
  <c r="K24" i="2"/>
  <c r="N24" i="2" s="1"/>
  <c r="J24" i="2"/>
  <c r="M24" i="2" s="1"/>
  <c r="K23" i="2"/>
  <c r="N23" i="2" s="1"/>
  <c r="J23" i="2"/>
  <c r="K22" i="2"/>
  <c r="N22" i="2" s="1"/>
  <c r="J22" i="2"/>
  <c r="K21" i="2"/>
  <c r="N21" i="2" s="1"/>
  <c r="J21" i="2"/>
  <c r="K20" i="2"/>
  <c r="N20" i="2" s="1"/>
  <c r="J20" i="2"/>
  <c r="K19" i="2"/>
  <c r="N19" i="2" s="1"/>
  <c r="J19" i="2"/>
  <c r="K18" i="2"/>
  <c r="N18" i="2" s="1"/>
  <c r="J18" i="2"/>
  <c r="K17" i="2"/>
  <c r="J17" i="2"/>
  <c r="M17" i="2" s="1"/>
  <c r="K16" i="2"/>
  <c r="N16" i="2" s="1"/>
  <c r="J16" i="2"/>
  <c r="K15" i="2"/>
  <c r="J15" i="2"/>
  <c r="K14" i="2"/>
  <c r="J14" i="2"/>
  <c r="K13" i="2"/>
  <c r="J13" i="2"/>
  <c r="K12" i="2"/>
  <c r="N12" i="2" s="1"/>
  <c r="J12" i="2"/>
  <c r="K11" i="2"/>
  <c r="N11" i="2" s="1"/>
  <c r="J11" i="2"/>
  <c r="K10" i="2"/>
  <c r="J10" i="2"/>
  <c r="K9" i="2"/>
  <c r="N9" i="2" s="1"/>
  <c r="J9" i="2"/>
  <c r="K8" i="2"/>
  <c r="J8" i="2"/>
  <c r="K7" i="2"/>
  <c r="N7" i="2" s="1"/>
  <c r="J7" i="2"/>
  <c r="M7" i="2" s="1"/>
  <c r="K6" i="2"/>
  <c r="J6" i="2"/>
  <c r="K5" i="2"/>
  <c r="J5" i="2"/>
  <c r="M46" i="2" l="1"/>
  <c r="N37" i="2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55" i="2"/>
  <c r="M14" i="2"/>
  <c r="M42" i="2"/>
  <c r="N10" i="2"/>
  <c r="N30" i="2"/>
  <c r="N50" i="2"/>
  <c r="J55" i="2"/>
  <c r="M22" i="2"/>
  <c r="N26" i="2"/>
  <c r="M6" i="2"/>
  <c r="N6" i="2"/>
  <c r="M34" i="2"/>
  <c r="N46" i="2"/>
  <c r="N38" i="2"/>
  <c r="M18" i="2"/>
  <c r="N55" i="2" l="1"/>
  <c r="M55" i="2"/>
</calcChain>
</file>

<file path=xl/sharedStrings.xml><?xml version="1.0" encoding="utf-8"?>
<sst xmlns="http://schemas.openxmlformats.org/spreadsheetml/2006/main" count="387" uniqueCount="101">
  <si>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</si>
  <si>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</si>
  <si>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</si>
  <si>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</si>
  <si>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</si>
  <si>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</si>
  <si>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</si>
  <si>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</si>
  <si>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</si>
  <si>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</si>
  <si>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</si>
  <si>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</si>
  <si>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</si>
  <si>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</si>
  <si>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</si>
  <si>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</si>
  <si>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</si>
  <si>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</si>
  <si>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</si>
  <si>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</si>
  <si>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</si>
  <si>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</si>
  <si>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</si>
  <si>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</si>
  <si>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</si>
  <si>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</si>
  <si>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</si>
  <si>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</si>
  <si>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</si>
  <si>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</si>
  <si>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</si>
  <si>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</si>
  <si>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</si>
  <si>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</si>
  <si>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</si>
  <si>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</si>
  <si>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</si>
  <si>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</si>
  <si>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</si>
  <si>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</si>
  <si>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</si>
  <si>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</si>
  <si>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</si>
  <si>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</si>
  <si>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</si>
  <si>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</si>
  <si>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</si>
  <si>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</si>
  <si>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</si>
  <si>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</si>
  <si>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</si>
  <si>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</si>
  <si>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</si>
  <si>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</si>
  <si>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</si>
  <si>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</si>
  <si>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</si>
  <si>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</si>
  <si>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</si>
  <si>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</si>
  <si>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</si>
  <si>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</si>
  <si>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</si>
  <si>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</si>
  <si>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</si>
  <si>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</si>
  <si>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</si>
  <si>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</si>
  <si>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</si>
  <si>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</si>
  <si>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</si>
  <si>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</si>
  <si>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</si>
  <si>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</si>
  <si>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</si>
  <si>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</si>
  <si>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</si>
  <si>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</si>
  <si>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</si>
  <si>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</si>
  <si>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</si>
  <si>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</si>
  <si>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</si>
  <si>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</si>
  <si>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</si>
  <si>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</si>
  <si>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</si>
  <si>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</si>
  <si>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</si>
  <si>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</si>
  <si>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</si>
  <si>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</si>
  <si>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DORIS CHIEW JING TZE</t>
  </si>
  <si>
    <t>Manulife Investment Greater China Fund</t>
  </si>
  <si>
    <t>TAN PIEH FANG</t>
  </si>
  <si>
    <t>Cash Account</t>
  </si>
  <si>
    <t>Eastspring Investments Dinasti Equity Fund</t>
  </si>
  <si>
    <t>Eastspring Investments Small-Cap Fund</t>
  </si>
  <si>
    <t>CBAAU 6.400% 05Mar2046 Corp (AUD)</t>
  </si>
  <si>
    <t>AHAM AIIMAN PRS Shariah Growth Fund (PRS)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</si>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</sst>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20.65">
      <c r="A2" t="s">
        <v>0</v>
      </c>
      <c r="B2" s="1" t="s">
        <v>1</v>
      </c>
      <c r="C2" t="s">
        <v>0</v>
      </c>
    </row>
    <row r="3" spans="1:3">
      <c r="A3" t="s">
        <v>0</v>
      </c>
      <c r="B3" s="2" t="s">
        <v>2</v>
      </c>
      <c r="C3" t="s">
        <v>0</v>
      </c>
    </row>
    <row r="5" spans="1:3">
      <c r="A5" t="s">
        <v>0</v>
      </c>
      <c r="B5" s="3" t="s">
        <v>3</v>
      </c>
      <c r="C5" t="s">
        <v>0</v>
      </c>
    </row>
    <row r="6" spans="1:3">
      <c r="A6" t="s">
        <v>0</v>
      </c>
      <c r="B6" s="4" t="s">
        <v>4</v>
      </c>
      <c r="C6" t="s">
        <v>0</v>
      </c>
    </row>
    <row r="7" spans="1:3">
      <c r="A7" t="s">
        <v>0</v>
      </c>
      <c r="B7" s="4" t="s">
        <v>5</v>
      </c>
      <c r="C7" t="s">
        <v>0</v>
      </c>
    </row>
    <row r="8" spans="1:3">
      <c r="A8" t="s">
        <v>0</v>
      </c>
      <c r="B8" s="4" t="s">
        <v>6</v>
      </c>
      <c r="C8" t="s">
        <v>0</v>
      </c>
    </row>
    <row r="9" spans="1:3" ht="25.5">
      <c r="A9" t="s">
        <v>0</v>
      </c>
      <c r="B9" s="4" t="s">
        <v>7</v>
      </c>
      <c r="C9" t="s">
        <v>0</v>
      </c>
    </row>
    <row r="10" spans="1:3" ht="25.5">
      <c r="A10" t="s">
        <v>0</v>
      </c>
      <c r="B10" s="4" t="s">
        <v>8</v>
      </c>
      <c r="C10" t="s">
        <v>0</v>
      </c>
    </row>
    <row r="11" spans="1:3" ht="25.5">
      <c r="A11" t="s">
        <v>0</v>
      </c>
      <c r="B11" s="4" t="s">
        <v>9</v>
      </c>
      <c r="C11" t="s">
        <v>0</v>
      </c>
    </row>
    <row r="12" spans="1:3">
      <c r="A12" t="s">
        <v>0</v>
      </c>
      <c r="B12" s="4" t="s">
        <v>10</v>
      </c>
      <c r="C12" t="s">
        <v>0</v>
      </c>
    </row>
    <row r="13" spans="1:3">
      <c r="A13" t="s">
        <v>0</v>
      </c>
      <c r="B13" s="4" t="s">
        <v>11</v>
      </c>
      <c r="C13" t="s">
        <v>0</v>
      </c>
    </row>
    <row r="14" spans="1:3" ht="25.5">
      <c r="A14" t="s">
        <v>0</v>
      </c>
      <c r="B14" s="4" t="s">
        <v>12</v>
      </c>
      <c r="C14" t="s">
        <v>0</v>
      </c>
    </row>
    <row r="16" spans="1:3">
      <c r="A16" t="s">
        <v>0</v>
      </c>
      <c r="B16" s="3" t="s">
        <v>13</v>
      </c>
      <c r="C16" t="s">
        <v>0</v>
      </c>
    </row>
    <row r="17" spans="1:3">
      <c r="A17" t="s">
        <v>0</v>
      </c>
      <c r="B17" s="5" t="s">
        <v>14</v>
      </c>
      <c r="C17" t="s">
        <v>0</v>
      </c>
    </row>
    <row r="18" spans="1:3">
      <c r="A18" t="s">
        <v>0</v>
      </c>
      <c r="B18" s="6" t="s">
        <v>15</v>
      </c>
      <c r="C18" t="s">
        <v>0</v>
      </c>
    </row>
    <row r="19" spans="1:3">
      <c r="A19" t="s">
        <v>0</v>
      </c>
      <c r="B19" s="7" t="s">
        <v>16</v>
      </c>
      <c r="C19" t="s">
        <v>0</v>
      </c>
    </row>
    <row r="20" spans="1:3">
      <c r="A20" t="s">
        <v>0</v>
      </c>
      <c r="B20" s="8" t="s">
        <v>17</v>
      </c>
      <c r="C20" t="s">
        <v>0</v>
      </c>
    </row>
    <row r="21" spans="1:3">
      <c r="A21" t="s">
        <v>0</v>
      </c>
      <c r="B21" s="9" t="s">
        <v>18</v>
      </c>
      <c r="C21" t="s">
        <v>0</v>
      </c>
    </row>
    <row r="23" spans="1:3">
      <c r="A23" t="s">
        <v>0</v>
      </c>
      <c r="B23" s="3" t="s">
        <v>19</v>
      </c>
      <c r="C23" t="s">
        <v>0</v>
      </c>
    </row>
    <row r="24" spans="1:3">
      <c r="A24" t="s">
        <v>0</v>
      </c>
      <c r="B24" s="4" t="s">
        <v>20</v>
      </c>
      <c r="C24" t="s">
        <v>0</v>
      </c>
    </row>
    <row r="25" spans="1:3" ht="25.5">
      <c r="A25" t="s">
        <v>0</v>
      </c>
      <c r="B25" s="4" t="s">
        <v>21</v>
      </c>
      <c r="C25" t="s">
        <v>0</v>
      </c>
    </row>
    <row r="26" spans="1:3" ht="25.5">
      <c r="A26" t="s">
        <v>0</v>
      </c>
      <c r="B26" s="4" t="s">
        <v>22</v>
      </c>
      <c r="C26" t="s">
        <v>0</v>
      </c>
    </row>
    <row r="27" spans="1:3" ht="25.5">
      <c r="A27" t="s">
        <v>0</v>
      </c>
      <c r="B27" s="4" t="s">
        <v>23</v>
      </c>
      <c r="C27" t="s">
        <v>0</v>
      </c>
    </row>
    <row r="28" spans="1:3" ht="25.5">
      <c r="A28" t="s">
        <v>0</v>
      </c>
      <c r="B28" s="4" t="s">
        <v>24</v>
      </c>
      <c r="C28" t="s">
        <v>0</v>
      </c>
    </row>
    <row r="29" spans="1:3" ht="25.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"/>
  <sheetViews>
    <sheetView tabSelected="1" workbookViewId="0">
      <pane ySplit="4" topLeftCell="A43" activePane="bottomLeft" state="frozen"/>
      <selection pane="bottomLeft" activeCell="C51" sqref="C51"/>
    </sheetView>
  </sheetViews>
  <sheetFormatPr defaultRowHeight="14.25"/>
  <cols>
    <col min="1" max="1" width="30" customWidth="1"/>
    <col min="2" max="2" width="53.140625" bestFit="1" customWidth="1"/>
    <col min="3" max="3" width="14" customWidth="1"/>
    <col min="4" max="4" width="22.5703125" bestFit="1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>
      <c r="A1" s="24" t="s">
        <v>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20.100000000000001" customHeight="1">
      <c r="A2" s="25" t="s">
        <v>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32.1" customHeight="1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54" si="6">G37*I37</f>
        <v>6.9</v>
      </c>
      <c r="K37" s="14">
        <f t="shared" ref="K37:K54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>
      <c r="A39" s="5" t="s">
        <v>92</v>
      </c>
      <c r="B39" s="5" t="s">
        <v>65</v>
      </c>
      <c r="C39" s="5" t="s">
        <v>66</v>
      </c>
      <c r="D39" s="5" t="s">
        <v>58</v>
      </c>
      <c r="E39" s="5" t="s">
        <v>59</v>
      </c>
      <c r="F39" s="5" t="s">
        <v>60</v>
      </c>
      <c r="G39" s="21">
        <v>12152.55</v>
      </c>
      <c r="H39" s="21">
        <v>9000</v>
      </c>
      <c r="I39" s="5"/>
      <c r="J39" s="14">
        <f t="shared" si="6"/>
        <v>0</v>
      </c>
      <c r="K39" s="14">
        <f t="shared" si="7"/>
        <v>0</v>
      </c>
      <c r="L39" s="15"/>
      <c r="M39" s="16">
        <f t="shared" si="4"/>
        <v>0</v>
      </c>
      <c r="N39" s="17">
        <f t="shared" si="5"/>
        <v>0</v>
      </c>
    </row>
    <row r="40" spans="1:14" ht="22.15" customHeight="1">
      <c r="A40" s="5" t="s">
        <v>92</v>
      </c>
      <c r="B40" s="5" t="s">
        <v>93</v>
      </c>
      <c r="C40" s="5" t="s">
        <v>66</v>
      </c>
      <c r="D40" s="5" t="s">
        <v>58</v>
      </c>
      <c r="E40" s="5" t="s">
        <v>59</v>
      </c>
      <c r="F40" s="5" t="s">
        <v>60</v>
      </c>
      <c r="G40" s="21">
        <v>3766.64</v>
      </c>
      <c r="H40" s="21">
        <v>2000</v>
      </c>
      <c r="I40" s="5"/>
      <c r="J40" s="14">
        <f t="shared" si="6"/>
        <v>0</v>
      </c>
      <c r="K40" s="14">
        <f t="shared" si="7"/>
        <v>0</v>
      </c>
      <c r="L40" s="15"/>
      <c r="M40" s="16">
        <f t="shared" si="4"/>
        <v>0</v>
      </c>
      <c r="N40" s="17">
        <f t="shared" si="5"/>
        <v>0</v>
      </c>
    </row>
    <row r="41" spans="1:14" ht="22.15" customHeight="1">
      <c r="A41" s="5" t="s">
        <v>92</v>
      </c>
      <c r="B41" s="5" t="s">
        <v>80</v>
      </c>
      <c r="C41" s="5" t="s">
        <v>66</v>
      </c>
      <c r="D41" s="5" t="s">
        <v>73</v>
      </c>
      <c r="E41" s="5" t="s">
        <v>59</v>
      </c>
      <c r="F41" s="5" t="s">
        <v>60</v>
      </c>
      <c r="G41" s="5">
        <v>4.83</v>
      </c>
      <c r="H41" s="5">
        <v>61000</v>
      </c>
      <c r="I41" s="5"/>
      <c r="J41" s="14">
        <f t="shared" si="6"/>
        <v>0</v>
      </c>
      <c r="K41" s="14">
        <f t="shared" si="7"/>
        <v>0</v>
      </c>
      <c r="L41" s="15"/>
      <c r="M41" s="16">
        <f t="shared" si="4"/>
        <v>0</v>
      </c>
      <c r="N41" s="17">
        <f t="shared" si="5"/>
        <v>0</v>
      </c>
    </row>
    <row r="42" spans="1:14" ht="22.15" customHeight="1">
      <c r="A42" s="5" t="s">
        <v>94</v>
      </c>
      <c r="B42" s="5" t="s">
        <v>74</v>
      </c>
      <c r="C42" s="5" t="s">
        <v>57</v>
      </c>
      <c r="D42" s="5" t="s">
        <v>73</v>
      </c>
      <c r="E42" s="5" t="s">
        <v>59</v>
      </c>
      <c r="F42" s="5" t="s">
        <v>60</v>
      </c>
      <c r="G42" s="21">
        <v>38798.160000000003</v>
      </c>
      <c r="H42" s="21">
        <v>36000</v>
      </c>
      <c r="I42" s="5"/>
      <c r="J42" s="14">
        <f t="shared" si="6"/>
        <v>0</v>
      </c>
      <c r="K42" s="14">
        <f t="shared" si="7"/>
        <v>0</v>
      </c>
      <c r="L42" s="15"/>
      <c r="M42" s="16">
        <f t="shared" si="4"/>
        <v>0</v>
      </c>
      <c r="N42" s="17">
        <f t="shared" si="5"/>
        <v>0</v>
      </c>
    </row>
    <row r="43" spans="1:14" ht="22.15" customHeight="1">
      <c r="A43" s="5" t="s">
        <v>94</v>
      </c>
      <c r="B43" s="5" t="s">
        <v>75</v>
      </c>
      <c r="C43" s="5" t="s">
        <v>57</v>
      </c>
      <c r="D43" s="5" t="s">
        <v>73</v>
      </c>
      <c r="E43" s="5" t="s">
        <v>59</v>
      </c>
      <c r="F43" s="5" t="s">
        <v>60</v>
      </c>
      <c r="G43" s="21">
        <v>98857.14</v>
      </c>
      <c r="H43" s="21">
        <v>94600</v>
      </c>
      <c r="I43" s="5"/>
      <c r="J43" s="14">
        <f t="shared" si="6"/>
        <v>0</v>
      </c>
      <c r="K43" s="14">
        <f t="shared" si="7"/>
        <v>0</v>
      </c>
      <c r="L43" s="15"/>
      <c r="M43" s="16">
        <f t="shared" si="4"/>
        <v>0</v>
      </c>
      <c r="N43" s="17">
        <f t="shared" si="5"/>
        <v>0</v>
      </c>
    </row>
    <row r="44" spans="1:14" ht="22.15" customHeight="1">
      <c r="A44" s="5" t="s">
        <v>94</v>
      </c>
      <c r="B44" s="5" t="s">
        <v>95</v>
      </c>
      <c r="C44" s="5" t="s">
        <v>66</v>
      </c>
      <c r="D44" s="5" t="s">
        <v>58</v>
      </c>
      <c r="E44" s="5" t="s">
        <v>59</v>
      </c>
      <c r="F44" s="5" t="s">
        <v>60</v>
      </c>
      <c r="G44" s="5">
        <v>3.83</v>
      </c>
      <c r="H44" s="5">
        <v>3.83</v>
      </c>
      <c r="I44" s="5"/>
      <c r="J44" s="14">
        <f t="shared" si="6"/>
        <v>0</v>
      </c>
      <c r="K44" s="14">
        <f t="shared" si="7"/>
        <v>0</v>
      </c>
      <c r="L44" s="15"/>
      <c r="M44" s="16">
        <f t="shared" si="4"/>
        <v>0</v>
      </c>
      <c r="N44" s="17">
        <f t="shared" si="5"/>
        <v>0</v>
      </c>
    </row>
    <row r="45" spans="1:14" ht="22.15" customHeight="1">
      <c r="A45" s="5" t="s">
        <v>94</v>
      </c>
      <c r="B45" s="5" t="s">
        <v>95</v>
      </c>
      <c r="C45" s="5" t="s">
        <v>66</v>
      </c>
      <c r="D45" s="5" t="s">
        <v>58</v>
      </c>
      <c r="E45" s="5" t="s">
        <v>59</v>
      </c>
      <c r="F45" s="5" t="s">
        <v>60</v>
      </c>
      <c r="G45" s="5">
        <v>8.56</v>
      </c>
      <c r="H45" s="5">
        <v>8.56</v>
      </c>
      <c r="I45" s="5"/>
      <c r="J45" s="14">
        <f t="shared" si="6"/>
        <v>0</v>
      </c>
      <c r="K45" s="14">
        <f t="shared" si="7"/>
        <v>0</v>
      </c>
      <c r="L45" s="15"/>
      <c r="M45" s="16">
        <f t="shared" si="4"/>
        <v>0</v>
      </c>
      <c r="N45" s="17">
        <f t="shared" si="5"/>
        <v>0</v>
      </c>
    </row>
    <row r="46" spans="1:14" ht="22.15" customHeight="1">
      <c r="A46" s="5" t="s">
        <v>94</v>
      </c>
      <c r="B46" s="5" t="s">
        <v>95</v>
      </c>
      <c r="C46" s="5" t="s">
        <v>66</v>
      </c>
      <c r="D46" s="5" t="s">
        <v>58</v>
      </c>
      <c r="E46" s="5" t="s">
        <v>59</v>
      </c>
      <c r="F46" s="5" t="s">
        <v>60</v>
      </c>
      <c r="G46" s="5">
        <v>3.83</v>
      </c>
      <c r="H46" s="5">
        <v>3.83</v>
      </c>
      <c r="I46" s="5"/>
      <c r="J46" s="14">
        <f t="shared" si="6"/>
        <v>0</v>
      </c>
      <c r="K46" s="14">
        <f t="shared" si="7"/>
        <v>0</v>
      </c>
      <c r="L46" s="15"/>
      <c r="M46" s="16">
        <f t="shared" si="4"/>
        <v>0</v>
      </c>
      <c r="N46" s="17">
        <f t="shared" si="5"/>
        <v>0</v>
      </c>
    </row>
    <row r="47" spans="1:14" ht="22.15" customHeight="1">
      <c r="A47" s="5" t="s">
        <v>94</v>
      </c>
      <c r="B47" s="5" t="s">
        <v>95</v>
      </c>
      <c r="C47" s="5" t="s">
        <v>66</v>
      </c>
      <c r="D47" s="5" t="s">
        <v>58</v>
      </c>
      <c r="E47" s="5" t="s">
        <v>59</v>
      </c>
      <c r="F47" s="5" t="s">
        <v>60</v>
      </c>
      <c r="G47" s="5">
        <v>3.83</v>
      </c>
      <c r="H47" s="5">
        <v>3.83</v>
      </c>
      <c r="I47" s="5"/>
      <c r="J47" s="14">
        <f t="shared" si="6"/>
        <v>0</v>
      </c>
      <c r="K47" s="14">
        <f t="shared" si="7"/>
        <v>0</v>
      </c>
      <c r="L47" s="15"/>
      <c r="M47" s="16">
        <f t="shared" si="4"/>
        <v>0</v>
      </c>
      <c r="N47" s="17">
        <f t="shared" si="5"/>
        <v>0</v>
      </c>
    </row>
    <row r="48" spans="1:14" ht="22.15" customHeight="1">
      <c r="A48" s="5" t="s">
        <v>94</v>
      </c>
      <c r="B48" s="5" t="s">
        <v>96</v>
      </c>
      <c r="C48" s="5" t="s">
        <v>57</v>
      </c>
      <c r="D48" s="5" t="s">
        <v>58</v>
      </c>
      <c r="E48" s="5" t="s">
        <v>59</v>
      </c>
      <c r="F48" s="5" t="s">
        <v>60</v>
      </c>
      <c r="G48" s="21">
        <v>66699.27</v>
      </c>
      <c r="H48" s="21">
        <v>53168.06</v>
      </c>
      <c r="I48" s="5"/>
      <c r="J48" s="14">
        <f t="shared" si="6"/>
        <v>0</v>
      </c>
      <c r="K48" s="14">
        <f t="shared" si="7"/>
        <v>0</v>
      </c>
      <c r="L48" s="15"/>
      <c r="M48" s="16">
        <f t="shared" si="4"/>
        <v>0</v>
      </c>
      <c r="N48" s="17">
        <f t="shared" si="5"/>
        <v>0</v>
      </c>
    </row>
    <row r="49" spans="1:14" ht="22.15" customHeight="1">
      <c r="A49" s="5" t="s">
        <v>94</v>
      </c>
      <c r="B49" s="5" t="s">
        <v>97</v>
      </c>
      <c r="C49" s="5" t="s">
        <v>57</v>
      </c>
      <c r="D49" s="5" t="s">
        <v>58</v>
      </c>
      <c r="E49" s="5" t="s">
        <v>59</v>
      </c>
      <c r="F49" s="5" t="s">
        <v>60</v>
      </c>
      <c r="G49" s="21">
        <v>32214.85</v>
      </c>
      <c r="H49" s="21">
        <v>25901.95</v>
      </c>
      <c r="I49" s="5"/>
      <c r="J49" s="14">
        <f t="shared" si="6"/>
        <v>0</v>
      </c>
      <c r="K49" s="14">
        <f t="shared" si="7"/>
        <v>0</v>
      </c>
      <c r="L49" s="15"/>
      <c r="M49" s="16">
        <f t="shared" si="4"/>
        <v>0</v>
      </c>
      <c r="N49" s="17">
        <f t="shared" si="5"/>
        <v>0</v>
      </c>
    </row>
    <row r="50" spans="1:14" ht="22.15" customHeight="1">
      <c r="A50" s="5" t="s">
        <v>94</v>
      </c>
      <c r="B50" s="5" t="s">
        <v>98</v>
      </c>
      <c r="C50" s="5" t="s">
        <v>69</v>
      </c>
      <c r="D50" s="5" t="s">
        <v>58</v>
      </c>
      <c r="E50" s="5" t="s">
        <v>59</v>
      </c>
      <c r="F50" s="5" t="s">
        <v>71</v>
      </c>
      <c r="G50" s="21">
        <v>19897</v>
      </c>
      <c r="H50" s="22">
        <v>20000</v>
      </c>
      <c r="I50" s="5"/>
      <c r="J50" s="14">
        <f t="shared" si="6"/>
        <v>0</v>
      </c>
      <c r="K50" s="14">
        <f t="shared" si="7"/>
        <v>0</v>
      </c>
      <c r="L50" s="15"/>
      <c r="M50" s="16">
        <f t="shared" si="4"/>
        <v>0</v>
      </c>
      <c r="N50" s="17">
        <f t="shared" si="5"/>
        <v>0</v>
      </c>
    </row>
    <row r="51" spans="1:14" ht="22.15" customHeight="1">
      <c r="A51" s="5" t="s">
        <v>94</v>
      </c>
      <c r="B51" s="5" t="s">
        <v>99</v>
      </c>
      <c r="C51" s="5" t="s">
        <v>66</v>
      </c>
      <c r="D51" s="5"/>
      <c r="E51" s="5"/>
      <c r="F51" s="5"/>
      <c r="G51" s="5"/>
      <c r="H51" s="5"/>
      <c r="I51" s="5"/>
      <c r="J51" s="14">
        <f t="shared" si="6"/>
        <v>0</v>
      </c>
      <c r="K51" s="14">
        <f t="shared" si="7"/>
        <v>0</v>
      </c>
      <c r="L51" s="15"/>
      <c r="M51" s="16">
        <f t="shared" si="4"/>
        <v>0</v>
      </c>
      <c r="N51" s="17">
        <f t="shared" si="5"/>
        <v>0</v>
      </c>
    </row>
    <row r="52" spans="1:14" ht="22.15" customHeight="1">
      <c r="A52" s="5"/>
      <c r="B52" s="5"/>
      <c r="C52" s="5"/>
      <c r="D52" s="5"/>
      <c r="E52" s="5"/>
      <c r="F52" s="5"/>
      <c r="G52" s="5"/>
      <c r="H52" s="5"/>
      <c r="I52" s="5"/>
      <c r="J52" s="14">
        <f t="shared" si="6"/>
        <v>0</v>
      </c>
      <c r="K52" s="14">
        <f t="shared" si="7"/>
        <v>0</v>
      </c>
      <c r="L52" s="15"/>
      <c r="M52" s="16">
        <f t="shared" si="4"/>
        <v>0</v>
      </c>
      <c r="N52" s="17">
        <f t="shared" si="5"/>
        <v>0</v>
      </c>
    </row>
    <row r="53" spans="1:14" ht="22.15" customHeight="1">
      <c r="A53" s="5"/>
      <c r="B53" s="5"/>
      <c r="C53" s="5"/>
      <c r="D53" s="5"/>
      <c r="E53" s="5"/>
      <c r="F53" s="5"/>
      <c r="G53" s="5"/>
      <c r="H53" s="5"/>
      <c r="I53" s="5"/>
      <c r="J53" s="14">
        <f t="shared" si="6"/>
        <v>0</v>
      </c>
      <c r="K53" s="14">
        <f t="shared" si="7"/>
        <v>0</v>
      </c>
      <c r="L53" s="15"/>
      <c r="M53" s="16">
        <f t="shared" si="4"/>
        <v>0</v>
      </c>
      <c r="N53" s="17">
        <f t="shared" si="5"/>
        <v>0</v>
      </c>
    </row>
    <row r="54" spans="1:14" ht="22.15" customHeight="1">
      <c r="A54" s="5"/>
      <c r="B54" s="5"/>
      <c r="C54" s="5"/>
      <c r="D54" s="5"/>
      <c r="E54" s="5"/>
      <c r="F54" s="5"/>
      <c r="G54" s="5"/>
      <c r="H54" s="5"/>
      <c r="I54" s="5"/>
      <c r="J54" s="14">
        <f t="shared" si="6"/>
        <v>0</v>
      </c>
      <c r="K54" s="14">
        <f t="shared" si="7"/>
        <v>0</v>
      </c>
      <c r="L54" s="15"/>
      <c r="M54" s="16">
        <f t="shared" si="4"/>
        <v>0</v>
      </c>
      <c r="N54" s="17">
        <f t="shared" si="5"/>
        <v>0</v>
      </c>
    </row>
    <row r="55" spans="1:14" ht="26.1" customHeight="1">
      <c r="A55" s="18" t="s">
        <v>100</v>
      </c>
      <c r="B55" s="18" t="s">
        <v>0</v>
      </c>
      <c r="C55" s="18" t="s">
        <v>0</v>
      </c>
      <c r="D55" s="18" t="s">
        <v>0</v>
      </c>
      <c r="E55" s="18" t="s">
        <v>0</v>
      </c>
      <c r="F55" s="18" t="s">
        <v>0</v>
      </c>
      <c r="G55" s="18" t="s">
        <v>0</v>
      </c>
      <c r="H55" s="18" t="s">
        <v>0</v>
      </c>
      <c r="I55" s="18" t="s">
        <v>0</v>
      </c>
      <c r="J55" s="19">
        <f>SUM(J5:J54)</f>
        <v>1455675.1769999999</v>
      </c>
      <c r="K55" s="19">
        <f>SUM(K5:K54)</f>
        <v>1388657.1629999999</v>
      </c>
      <c r="L55" s="18" t="s">
        <v>0</v>
      </c>
      <c r="M55" s="19">
        <f>SUM(M5:M54)</f>
        <v>67018.013999999981</v>
      </c>
      <c r="N55" s="20">
        <f>IF(SUM(K5:K54)&gt;0,SUM(M5:M54)/SUM(K5:K54),0)</f>
        <v>4.8261022076332302E-2</v>
      </c>
    </row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54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54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54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54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2026-05-19T08:11:32Z</dcterms:created>
  <dcterms:modified xsi:type="dcterms:W3CDTF">2026-06-03T01:43:47Z</dcterms:modified>
  <cp:category/>
  <cp:contentStatus/>
</cp:coreProperties>
</file>