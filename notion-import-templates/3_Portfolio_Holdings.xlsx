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1" documentId="13_ncr:1_{52A364DC-9654-41CE-AD41-F2E07BC9A8E5}" xr6:coauthVersionLast="47" xr6:coauthVersionMax="47" xr10:uidLastSave="{9F6AEF51-2817-49EB-A33E-740F35A93973}"/>
  <bookViews>
    <workbookView xWindow="-98" yWindow="-98" windowWidth="20715" windowHeight="13155" activeTab="1" xr2:uid="{00000000-000D-0000-FFFF-FFFF00000000}"/>
  </bookViews>
  <sheets>
    <sheet name="📋 READ ME FIRST" sheetId="1" r:id="rId1"/>
    <sheet name="Portfolio Data Ent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4" i="2" l="1"/>
  <c r="N54" i="2" s="1"/>
  <c r="J54" i="2"/>
  <c r="M54" i="2" s="1"/>
  <c r="K53" i="2"/>
  <c r="N53" i="2" s="1"/>
  <c r="J53" i="2"/>
  <c r="M53" i="2" s="1"/>
  <c r="K52" i="2"/>
  <c r="N52" i="2" s="1"/>
  <c r="J52" i="2"/>
  <c r="K51" i="2"/>
  <c r="N51" i="2" s="1"/>
  <c r="J51" i="2"/>
  <c r="M51" i="2" s="1"/>
  <c r="K50" i="2"/>
  <c r="J50" i="2"/>
  <c r="K49" i="2"/>
  <c r="N49" i="2" s="1"/>
  <c r="J49" i="2"/>
  <c r="M49" i="2" s="1"/>
  <c r="K48" i="2"/>
  <c r="N48" i="2" s="1"/>
  <c r="J48" i="2"/>
  <c r="M48" i="2" s="1"/>
  <c r="K47" i="2"/>
  <c r="N47" i="2" s="1"/>
  <c r="J47" i="2"/>
  <c r="M47" i="2" s="1"/>
  <c r="K46" i="2"/>
  <c r="M46" i="2" s="1"/>
  <c r="J46" i="2"/>
  <c r="K45" i="2"/>
  <c r="N45" i="2" s="1"/>
  <c r="J45" i="2"/>
  <c r="K44" i="2"/>
  <c r="N44" i="2" s="1"/>
  <c r="J44" i="2"/>
  <c r="K43" i="2"/>
  <c r="N43" i="2" s="1"/>
  <c r="J43" i="2"/>
  <c r="M43" i="2" s="1"/>
  <c r="K42" i="2"/>
  <c r="N42" i="2" s="1"/>
  <c r="J42" i="2"/>
  <c r="K41" i="2"/>
  <c r="N41" i="2" s="1"/>
  <c r="J41" i="2"/>
  <c r="M41" i="2" s="1"/>
  <c r="K40" i="2"/>
  <c r="N40" i="2" s="1"/>
  <c r="J40" i="2"/>
  <c r="M40" i="2" s="1"/>
  <c r="K39" i="2"/>
  <c r="N39" i="2" s="1"/>
  <c r="J39" i="2"/>
  <c r="M39" i="2" s="1"/>
  <c r="K38" i="2"/>
  <c r="J38" i="2"/>
  <c r="K37" i="2"/>
  <c r="N37" i="2" s="1"/>
  <c r="J37" i="2"/>
  <c r="K36" i="2"/>
  <c r="N36" i="2" s="1"/>
  <c r="J36" i="2"/>
  <c r="K35" i="2"/>
  <c r="N35" i="2" s="1"/>
  <c r="J35" i="2"/>
  <c r="K34" i="2"/>
  <c r="N34" i="2" s="1"/>
  <c r="J34" i="2"/>
  <c r="K33" i="2"/>
  <c r="N33" i="2" s="1"/>
  <c r="J33" i="2"/>
  <c r="M33" i="2" s="1"/>
  <c r="K32" i="2"/>
  <c r="N32" i="2" s="1"/>
  <c r="J32" i="2"/>
  <c r="K31" i="2"/>
  <c r="N31" i="2" s="1"/>
  <c r="J31" i="2"/>
  <c r="K30" i="2"/>
  <c r="J30" i="2"/>
  <c r="K29" i="2"/>
  <c r="N29" i="2" s="1"/>
  <c r="J29" i="2"/>
  <c r="M29" i="2" s="1"/>
  <c r="K28" i="2"/>
  <c r="N28" i="2" s="1"/>
  <c r="J28" i="2"/>
  <c r="K27" i="2"/>
  <c r="N27" i="2" s="1"/>
  <c r="J27" i="2"/>
  <c r="K26" i="2"/>
  <c r="J26" i="2"/>
  <c r="K25" i="2"/>
  <c r="N25" i="2" s="1"/>
  <c r="J25" i="2"/>
  <c r="K24" i="2"/>
  <c r="N24" i="2" s="1"/>
  <c r="J24" i="2"/>
  <c r="M24" i="2" s="1"/>
  <c r="K23" i="2"/>
  <c r="N23" i="2" s="1"/>
  <c r="J23" i="2"/>
  <c r="K22" i="2"/>
  <c r="N22" i="2" s="1"/>
  <c r="J22" i="2"/>
  <c r="K21" i="2"/>
  <c r="N21" i="2" s="1"/>
  <c r="J21" i="2"/>
  <c r="K20" i="2"/>
  <c r="N20" i="2" s="1"/>
  <c r="J20" i="2"/>
  <c r="K19" i="2"/>
  <c r="N19" i="2" s="1"/>
  <c r="J19" i="2"/>
  <c r="K18" i="2"/>
  <c r="N18" i="2" s="1"/>
  <c r="J18" i="2"/>
  <c r="K17" i="2"/>
  <c r="N17" i="2" s="1"/>
  <c r="J17" i="2"/>
  <c r="M17" i="2" s="1"/>
  <c r="K16" i="2"/>
  <c r="N16" i="2" s="1"/>
  <c r="J16" i="2"/>
  <c r="K15" i="2"/>
  <c r="N15" i="2" s="1"/>
  <c r="J15" i="2"/>
  <c r="K14" i="2"/>
  <c r="N14" i="2" s="1"/>
  <c r="J14" i="2"/>
  <c r="K13" i="2"/>
  <c r="N13" i="2" s="1"/>
  <c r="J13" i="2"/>
  <c r="K12" i="2"/>
  <c r="N12" i="2" s="1"/>
  <c r="J12" i="2"/>
  <c r="K11" i="2"/>
  <c r="N11" i="2" s="1"/>
  <c r="J11" i="2"/>
  <c r="K10" i="2"/>
  <c r="J10" i="2"/>
  <c r="K9" i="2"/>
  <c r="N9" i="2" s="1"/>
  <c r="J9" i="2"/>
  <c r="K8" i="2"/>
  <c r="N8" i="2" s="1"/>
  <c r="J8" i="2"/>
  <c r="K7" i="2"/>
  <c r="N7" i="2" s="1"/>
  <c r="J7" i="2"/>
  <c r="M7" i="2" s="1"/>
  <c r="K6" i="2"/>
  <c r="J6" i="2"/>
  <c r="K5" i="2"/>
  <c r="N5" i="2" s="1"/>
  <c r="J5" i="2"/>
  <c r="M50" i="2" l="1"/>
  <c r="M38" i="2"/>
  <c r="M37" i="2"/>
  <c r="M32" i="2"/>
  <c r="M31" i="2"/>
  <c r="M27" i="2"/>
  <c r="M25" i="2"/>
  <c r="M21" i="2"/>
  <c r="M19" i="2"/>
  <c r="M16" i="2"/>
  <c r="M20" i="2"/>
  <c r="M28" i="2"/>
  <c r="M36" i="2"/>
  <c r="M44" i="2"/>
  <c r="M52" i="2"/>
  <c r="M45" i="2"/>
  <c r="M26" i="2"/>
  <c r="M30" i="2"/>
  <c r="M15" i="2"/>
  <c r="M23" i="2"/>
  <c r="M35" i="2"/>
  <c r="M13" i="2"/>
  <c r="M12" i="2"/>
  <c r="M11" i="2"/>
  <c r="M9" i="2"/>
  <c r="M8" i="2"/>
  <c r="M10" i="2"/>
  <c r="M5" i="2"/>
  <c r="K55" i="2"/>
  <c r="M14" i="2"/>
  <c r="M42" i="2"/>
  <c r="N10" i="2"/>
  <c r="N30" i="2"/>
  <c r="N50" i="2"/>
  <c r="J55" i="2"/>
  <c r="N55" i="2"/>
  <c r="M22" i="2"/>
  <c r="N26" i="2"/>
  <c r="M6" i="2"/>
  <c r="N6" i="2"/>
  <c r="M34" i="2"/>
  <c r="N46" i="2"/>
  <c r="N38" i="2"/>
  <c r="M18" i="2"/>
  <c r="M55" i="2" l="1"/>
</calcChain>
</file>

<file path=xl/sharedStrings.xml><?xml version="1.0" encoding="utf-8"?>
<sst xmlns="http://schemas.openxmlformats.org/spreadsheetml/2006/main" count="312" uniqueCount="93">
  <si>
    <t/>
  </si>
  <si>
    <t>📊  Portfolio Holdings Database</t>
  </si>
  <si>
    <t>Bill Morrisons Financial Consulting — Data Entry Guide</t>
  </si>
  <si>
    <t>HOW TO USE THIS FILE</t>
  </si>
  <si>
    <t xml:space="preserve">  1.  Go to the "Portfolio Data Entry" sheet</t>
  </si>
  <si>
    <t xml:space="preserve">  2.  Delete the blue EXAMPLE rows before adding real data</t>
  </si>
  <si>
    <t xml:space="preserve">  3.  Enter one row per holding (EPF, unit trust, FD, stocks, etc.)</t>
  </si>
  <si>
    <t xml:space="preserve">  4.  "Client Name" = the client who owns this holding — must match the name in the Clients database</t>
  </si>
  <si>
    <t xml:space="preserve">  5.  "Purchase price" = original amount invested; "Value" = current market value</t>
  </si>
  <si>
    <t xml:space="preserve">  6.  "Maturity date" only applies to Fixed Deposits and bonds — leave blank for others</t>
  </si>
  <si>
    <t xml:space="preserve">  7.  Gain/Loss and Return % are auto-calculated — do NOT edit them</t>
  </si>
  <si>
    <t xml:space="preserve">  8.  DELETE the last two pink columns before importing to Notion</t>
  </si>
  <si>
    <t xml:space="preserve">  9.  When done: File → Save As → CSV UTF-8 (.csv) → Import to Notion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</si>
  <si>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</si>
  <si>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</si>
  <si>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</si>
  <si>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</si>
  <si>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</si>
  <si>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</si>
  <si>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</si>
  <si>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column headers in Row 3</t>
  </si>
  <si>
    <t xml:space="preserve">  ⚠️  Client Name must match exactly the name in your Clients database</t>
  </si>
  <si>
    <t xml:space="preserve">  ⚠️  Asset class must match exactly: EPF | Unit Trust | Fixed Deposit | Stocks | Bonds</t>
  </si>
  <si>
    <t xml:space="preserve">  ⚠️  Maturity date: YYYY-MM-DD only  e.g.  2026-11-30  — leave empty for EPF/unit trusts</t>
  </si>
  <si>
    <t xml:space="preserve">  ⚠️  DELETE the pink Gain/Loss and Return % columns before importing to Notion</t>
  </si>
  <si>
    <t xml:space="preserve">  ⚠️  All amounts: numbers only, no "RM" or commas  e.g.  115000 not RM 115,000</t>
  </si>
  <si>
    <t xml:space="preserve">  Bill Morrisons Financial Consulting  —  Portfolio Holdings</t>
  </si>
  <si>
    <t xml:space="preserve">  ✏️  Supports MYR / USD / SGD / GBP / EUR  |  Enter original currency amount + FX rate → MYR auto-calculated  |  DELETE last 2 pink cols before import</t>
  </si>
  <si>
    <t>Client Name</t>
  </si>
  <si>
    <t>Holding Name</t>
  </si>
  <si>
    <t>Asset class</t>
  </si>
  <si>
    <t>Institution</t>
  </si>
  <si>
    <t>Status</t>
  </si>
  <si>
    <t>Currency</t>
  </si>
  <si>
    <t>Value (original currency)</t>
  </si>
  <si>
    <t>Purchase price (original currency)</t>
  </si>
  <si>
    <t>FX Rate to MYR</t>
  </si>
  <si>
    <t>Value (MYR)</t>
  </si>
  <si>
    <t>Purchase price (MYR)</t>
  </si>
  <si>
    <t>Maturity date</t>
  </si>
  <si>
    <t>⚠️ Gain/Loss — DELETE BEFORE IMPORT</t>
  </si>
  <si>
    <t>⚠️ Return % — DELETE BEFORE IMPORT</t>
  </si>
  <si>
    <t>Must match name in Clients DB</t>
  </si>
  <si>
    <t>Full product name</t>
  </si>
  <si>
    <t>EPF/Unit Trust/Fixed Deposit/Stocks/Bonds</t>
  </si>
  <si>
    <t>e.g. KWSP / Maybank / Interactive Brokers</t>
  </si>
  <si>
    <t>Active/Matured/Redeemed</t>
  </si>
  <si>
    <t>MYR / USD / SGD / GBP / EUR / AUD / HKD</t>
  </si>
  <si>
    <t>Amount in original currency  e.g. 10000</t>
  </si>
  <si>
    <t>Original purchase amount in same currency</t>
  </si>
  <si>
    <t>MYR=1 · USD≈4.47 · SGD≈3.32 · GBP≈5.65</t>
  </si>
  <si>
    <t>=auto (G×I)</t>
  </si>
  <si>
    <t>=auto (H×I)</t>
  </si>
  <si>
    <t>YYYY-MM-DD for FD/bonds only</t>
  </si>
  <si>
    <t>=auto</t>
  </si>
  <si>
    <t>EPF</t>
  </si>
  <si>
    <t>Active</t>
  </si>
  <si>
    <t>MYR</t>
  </si>
  <si>
    <t>Unit Trust</t>
  </si>
  <si>
    <t>SGD</t>
  </si>
  <si>
    <t>TOTAL</t>
  </si>
  <si>
    <t>DAMIEN NG TZE HOONG</t>
  </si>
  <si>
    <t>LEONG CHEE KEONG</t>
  </si>
  <si>
    <t>NG MEI CHING</t>
  </si>
  <si>
    <t>KAREN CHEW AI LENG</t>
  </si>
  <si>
    <t>KAM BENG SIM</t>
  </si>
  <si>
    <t>AHAM Select Opportunity Fund</t>
  </si>
  <si>
    <t>Principal Asia Pacific Dynamic Income Fund - MYR</t>
  </si>
  <si>
    <t>LLOYDS 7.086% 31Aug2033 Corp (AUD)</t>
  </si>
  <si>
    <t>AUD</t>
  </si>
  <si>
    <t>Redeemed</t>
  </si>
  <si>
    <t>Ifast</t>
  </si>
  <si>
    <t>MCISIB 5.300% 29Dec2031 Corp (MYR)</t>
  </si>
  <si>
    <t>Principal Asia Pacific Dynamic Income Fund (MYR)</t>
  </si>
  <si>
    <t>Phillip Mutual Berhad</t>
  </si>
  <si>
    <t>Principal China Direct Opportunities Fund-MYR</t>
  </si>
  <si>
    <t>Principal Greater China Equity Fund-MYR</t>
  </si>
  <si>
    <t>Principal PRS Plus Asia Pacific Ex Jap Equity (Class C)</t>
  </si>
  <si>
    <t>PMART</t>
  </si>
  <si>
    <t>Phillip Capital Management</t>
  </si>
  <si>
    <t>Phillip Master Money Market Fund</t>
  </si>
  <si>
    <t>PGWA</t>
  </si>
  <si>
    <t>LOH SHI SHENG</t>
  </si>
  <si>
    <t>1. AHAM Bond Fund
2. Phillip Master Money Market Fund</t>
  </si>
  <si>
    <t>AHAM PRS Growth Fund (PRS)</t>
  </si>
  <si>
    <t>Bonds</t>
  </si>
  <si>
    <t>Principal PRS Plus Asia Pacific Ex Japan Equity - Class C (PRS)</t>
  </si>
  <si>
    <t>WONG CHENG YEAT</t>
  </si>
  <si>
    <t>Principal Malaysia Enhanced Opportunities Fund</t>
  </si>
  <si>
    <t>WONG CHENG LIANG</t>
  </si>
  <si>
    <t>Principal PRS Plus Asia Pacific Ex Jap Equity (Class A) (PRS)</t>
  </si>
  <si>
    <t>KOK HUEI MIN</t>
  </si>
  <si>
    <t>1. Manulife India Equity Fund - RM
2. Phillip Master Money Market Fund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</si>
</sst>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"/>
  </numFmts>
  <fonts count="16" x14ac:knownFonts="1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b/>
      <sz val="9"/>
      <color rgb="FF2D6A35"/>
      <name val="Arial"/>
      <family val="2"/>
    </font>
    <font>
      <b/>
      <sz val="9"/>
      <color rgb="FFC62828"/>
      <name val="Arial"/>
      <family val="2"/>
    </font>
    <font>
      <i/>
      <sz val="9"/>
      <color rgb="FF555555"/>
      <name val="Arial"/>
      <family val="2"/>
    </font>
    <font>
      <b/>
      <sz val="10"/>
      <color rgb="FF0A4A1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  <fill>
      <patternFill patternType="solid">
        <fgColor rgb="FFFFF0F0"/>
      </patternFill>
    </fill>
    <fill>
      <patternFill patternType="solid">
        <fgColor rgb="FFD0EDD3"/>
      </patternFill>
    </fill>
  </fills>
  <borders count="4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medium">
        <color rgb="FF2E7D32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164" fontId="6" fillId="4" borderId="1" xfId="0" applyNumberFormat="1" applyFont="1" applyFill="1" applyBorder="1"/>
    <xf numFmtId="0" fontId="5" fillId="3" borderId="1" xfId="0" applyFont="1" applyFill="1" applyBorder="1" applyAlignment="1">
      <alignment horizontal="left" vertical="center"/>
    </xf>
    <xf numFmtId="164" fontId="6" fillId="10" borderId="1" xfId="0" applyNumberFormat="1" applyFont="1" applyFill="1" applyBorder="1"/>
    <xf numFmtId="165" fontId="6" fillId="10" borderId="1" xfId="0" applyNumberFormat="1" applyFont="1" applyFill="1" applyBorder="1"/>
    <xf numFmtId="0" fontId="15" fillId="11" borderId="3" xfId="0" applyFont="1" applyFill="1" applyBorder="1"/>
    <xf numFmtId="164" fontId="15" fillId="11" borderId="3" xfId="0" applyNumberFormat="1" applyFont="1" applyFill="1" applyBorder="1"/>
    <xf numFmtId="165" fontId="15" fillId="11" borderId="3" xfId="0" applyNumberFormat="1" applyFont="1" applyFill="1" applyBorder="1"/>
    <xf numFmtId="4" fontId="5" fillId="2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9"/>
  <sheetViews>
    <sheetView topLeftCell="A9" workbookViewId="0">
      <selection activeCell="B29" sqref="B29"/>
    </sheetView>
  </sheetViews>
  <sheetFormatPr defaultRowHeight="14.25" x14ac:dyDescent="0.45"/>
  <cols>
    <col min="1" max="1" width="5" customWidth="1"/>
    <col min="2" max="2" width="60" customWidth="1"/>
    <col min="3" max="3" width="5" customWidth="1"/>
  </cols>
  <sheetData>
    <row r="2" spans="1:3" ht="20.65" x14ac:dyDescent="0.45">
      <c r="A2" t="s">
        <v>0</v>
      </c>
      <c r="B2" s="1" t="s">
        <v>1</v>
      </c>
      <c r="C2" t="s">
        <v>0</v>
      </c>
    </row>
    <row r="3" spans="1:3" x14ac:dyDescent="0.45">
      <c r="A3" t="s">
        <v>0</v>
      </c>
      <c r="B3" s="2" t="s">
        <v>2</v>
      </c>
      <c r="C3" t="s">
        <v>0</v>
      </c>
    </row>
    <row r="5" spans="1:3" x14ac:dyDescent="0.45">
      <c r="A5" t="s">
        <v>0</v>
      </c>
      <c r="B5" s="3" t="s">
        <v>3</v>
      </c>
      <c r="C5" t="s">
        <v>0</v>
      </c>
    </row>
    <row r="6" spans="1:3" x14ac:dyDescent="0.45">
      <c r="A6" t="s">
        <v>0</v>
      </c>
      <c r="B6" s="4" t="s">
        <v>4</v>
      </c>
      <c r="C6" t="s">
        <v>0</v>
      </c>
    </row>
    <row r="7" spans="1:3" x14ac:dyDescent="0.45">
      <c r="A7" t="s">
        <v>0</v>
      </c>
      <c r="B7" s="4" t="s">
        <v>5</v>
      </c>
      <c r="C7" t="s">
        <v>0</v>
      </c>
    </row>
    <row r="8" spans="1:3" x14ac:dyDescent="0.45">
      <c r="A8" t="s">
        <v>0</v>
      </c>
      <c r="B8" s="4" t="s">
        <v>6</v>
      </c>
      <c r="C8" t="s">
        <v>0</v>
      </c>
    </row>
    <row r="9" spans="1:3" ht="25.5" x14ac:dyDescent="0.45">
      <c r="A9" t="s">
        <v>0</v>
      </c>
      <c r="B9" s="4" t="s">
        <v>7</v>
      </c>
      <c r="C9" t="s">
        <v>0</v>
      </c>
    </row>
    <row r="10" spans="1:3" ht="25.5" x14ac:dyDescent="0.45">
      <c r="A10" t="s">
        <v>0</v>
      </c>
      <c r="B10" s="4" t="s">
        <v>8</v>
      </c>
      <c r="C10" t="s">
        <v>0</v>
      </c>
    </row>
    <row r="11" spans="1:3" ht="25.5" x14ac:dyDescent="0.45">
      <c r="A11" t="s">
        <v>0</v>
      </c>
      <c r="B11" s="4" t="s">
        <v>9</v>
      </c>
      <c r="C11" t="s">
        <v>0</v>
      </c>
    </row>
    <row r="12" spans="1:3" x14ac:dyDescent="0.45">
      <c r="A12" t="s">
        <v>0</v>
      </c>
      <c r="B12" s="4" t="s">
        <v>10</v>
      </c>
      <c r="C12" t="s">
        <v>0</v>
      </c>
    </row>
    <row r="13" spans="1:3" x14ac:dyDescent="0.45">
      <c r="A13" t="s">
        <v>0</v>
      </c>
      <c r="B13" s="4" t="s">
        <v>11</v>
      </c>
      <c r="C13" t="s">
        <v>0</v>
      </c>
    </row>
    <row r="14" spans="1:3" ht="25.5" x14ac:dyDescent="0.45">
      <c r="A14" t="s">
        <v>0</v>
      </c>
      <c r="B14" s="4" t="s">
        <v>12</v>
      </c>
      <c r="C14" t="s">
        <v>0</v>
      </c>
    </row>
    <row r="16" spans="1:3" x14ac:dyDescent="0.45">
      <c r="A16" t="s">
        <v>0</v>
      </c>
      <c r="B16" s="3" t="s">
        <v>13</v>
      </c>
      <c r="C16" t="s">
        <v>0</v>
      </c>
    </row>
    <row r="17" spans="1:3" x14ac:dyDescent="0.45">
      <c r="A17" t="s">
        <v>0</v>
      </c>
      <c r="B17" s="5" t="s">
        <v>14</v>
      </c>
      <c r="C17" t="s">
        <v>0</v>
      </c>
    </row>
    <row r="18" spans="1:3" x14ac:dyDescent="0.45">
      <c r="A18" t="s">
        <v>0</v>
      </c>
      <c r="B18" s="6" t="s">
        <v>15</v>
      </c>
      <c r="C18" t="s">
        <v>0</v>
      </c>
    </row>
    <row r="19" spans="1:3" x14ac:dyDescent="0.45">
      <c r="A19" t="s">
        <v>0</v>
      </c>
      <c r="B19" s="7" t="s">
        <v>16</v>
      </c>
      <c r="C19" t="s">
        <v>0</v>
      </c>
    </row>
    <row r="20" spans="1:3" x14ac:dyDescent="0.45">
      <c r="A20" t="s">
        <v>0</v>
      </c>
      <c r="B20" s="8" t="s">
        <v>17</v>
      </c>
      <c r="C20" t="s">
        <v>0</v>
      </c>
    </row>
    <row r="21" spans="1:3" x14ac:dyDescent="0.45">
      <c r="A21" t="s">
        <v>0</v>
      </c>
      <c r="B21" s="9" t="s">
        <v>18</v>
      </c>
      <c r="C21" t="s">
        <v>0</v>
      </c>
    </row>
    <row r="23" spans="1:3" x14ac:dyDescent="0.45">
      <c r="A23" t="s">
        <v>0</v>
      </c>
      <c r="B23" s="3" t="s">
        <v>19</v>
      </c>
      <c r="C23" t="s">
        <v>0</v>
      </c>
    </row>
    <row r="24" spans="1:3" x14ac:dyDescent="0.45">
      <c r="A24" t="s">
        <v>0</v>
      </c>
      <c r="B24" s="4" t="s">
        <v>20</v>
      </c>
      <c r="C24" t="s">
        <v>0</v>
      </c>
    </row>
    <row r="25" spans="1:3" ht="25.5" x14ac:dyDescent="0.45">
      <c r="A25" t="s">
        <v>0</v>
      </c>
      <c r="B25" s="4" t="s">
        <v>21</v>
      </c>
      <c r="C25" t="s">
        <v>0</v>
      </c>
    </row>
    <row r="26" spans="1:3" ht="25.5" x14ac:dyDescent="0.45">
      <c r="A26" t="s">
        <v>0</v>
      </c>
      <c r="B26" s="4" t="s">
        <v>22</v>
      </c>
      <c r="C26" t="s">
        <v>0</v>
      </c>
    </row>
    <row r="27" spans="1:3" ht="25.5" x14ac:dyDescent="0.45">
      <c r="A27" t="s">
        <v>0</v>
      </c>
      <c r="B27" s="4" t="s">
        <v>23</v>
      </c>
      <c r="C27" t="s">
        <v>0</v>
      </c>
    </row>
    <row r="28" spans="1:3" ht="25.5" x14ac:dyDescent="0.45">
      <c r="A28" t="s">
        <v>0</v>
      </c>
      <c r="B28" s="4" t="s">
        <v>24</v>
      </c>
      <c r="C28" t="s">
        <v>0</v>
      </c>
    </row>
    <row r="29" spans="1:3" ht="25.5" x14ac:dyDescent="0.45">
      <c r="A29" t="s">
        <v>0</v>
      </c>
      <c r="B29" s="4" t="s">
        <v>25</v>
      </c>
      <c r="C29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5"/>
  <sheetViews>
    <sheetView tabSelected="1" workbookViewId="0">
      <pane ySplit="4" topLeftCell="A5" activePane="bottomLeft" state="frozen"/>
      <selection pane="bottomLeft" activeCell="A5" sqref="A5:XFD9"/>
    </sheetView>
  </sheetViews>
  <sheetFormatPr defaultRowHeight="14.25" x14ac:dyDescent="0.45"/>
  <cols>
    <col min="1" max="1" width="30" customWidth="1"/>
    <col min="2" max="2" width="53.19921875" bestFit="1" customWidth="1"/>
    <col min="3" max="3" width="14" customWidth="1"/>
    <col min="4" max="4" width="22.59765625" bestFit="1" customWidth="1"/>
    <col min="5" max="5" width="12" customWidth="1"/>
    <col min="6" max="6" width="10" customWidth="1"/>
    <col min="7" max="7" width="24" customWidth="1"/>
    <col min="8" max="8" width="28" customWidth="1"/>
    <col min="9" max="10" width="16" customWidth="1"/>
    <col min="11" max="11" width="20" customWidth="1"/>
    <col min="12" max="12" width="18" customWidth="1"/>
    <col min="13" max="13" width="28" customWidth="1"/>
    <col min="14" max="14" width="24" customWidth="1"/>
  </cols>
  <sheetData>
    <row r="1" spans="1:14" ht="28.05" customHeight="1" x14ac:dyDescent="0.45">
      <c r="A1" s="24" t="s">
        <v>26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20" customHeight="1" x14ac:dyDescent="0.45">
      <c r="A2" s="25" t="s">
        <v>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ht="32" customHeight="1" x14ac:dyDescent="0.45">
      <c r="A3" s="10" t="s">
        <v>28</v>
      </c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1" t="s">
        <v>37</v>
      </c>
      <c r="K3" s="11" t="s">
        <v>38</v>
      </c>
      <c r="L3" s="10" t="s">
        <v>39</v>
      </c>
      <c r="M3" s="12" t="s">
        <v>40</v>
      </c>
      <c r="N3" s="12" t="s">
        <v>41</v>
      </c>
    </row>
    <row r="4" spans="1:14" ht="28.05" customHeight="1" x14ac:dyDescent="0.45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54</v>
      </c>
    </row>
    <row r="5" spans="1:14" ht="22.05" customHeight="1" x14ac:dyDescent="0.45">
      <c r="A5" s="5" t="s">
        <v>61</v>
      </c>
      <c r="B5" s="5" t="s">
        <v>67</v>
      </c>
      <c r="C5" s="5" t="s">
        <v>55</v>
      </c>
      <c r="D5" s="5" t="s">
        <v>71</v>
      </c>
      <c r="E5" s="5" t="s">
        <v>56</v>
      </c>
      <c r="F5" s="5" t="s">
        <v>57</v>
      </c>
      <c r="G5" s="21">
        <v>8378.34</v>
      </c>
      <c r="H5" s="21">
        <v>4618.37</v>
      </c>
      <c r="I5" s="5"/>
      <c r="J5" s="14">
        <f t="shared" ref="J5:J36" si="0">G5*I5</f>
        <v>0</v>
      </c>
      <c r="K5" s="14">
        <f t="shared" ref="K5:K36" si="1">H5*I5</f>
        <v>0</v>
      </c>
      <c r="L5" s="15"/>
      <c r="M5" s="16">
        <f t="shared" ref="M5:M31" si="2">J5-K5</f>
        <v>0</v>
      </c>
      <c r="N5" s="17">
        <f t="shared" ref="N5:N31" si="3">IF(K5&gt;0,(J5-K5)/K5,0)</f>
        <v>0</v>
      </c>
    </row>
    <row r="6" spans="1:14" ht="22.05" customHeight="1" x14ac:dyDescent="0.45">
      <c r="A6" s="5" t="s">
        <v>62</v>
      </c>
      <c r="B6" s="5"/>
      <c r="C6" s="5"/>
      <c r="D6" s="5" t="s">
        <v>71</v>
      </c>
      <c r="E6" s="5" t="s">
        <v>70</v>
      </c>
      <c r="F6" s="5"/>
      <c r="G6" s="5"/>
      <c r="H6" s="5"/>
      <c r="I6" s="5"/>
      <c r="J6" s="14">
        <f t="shared" si="0"/>
        <v>0</v>
      </c>
      <c r="K6" s="14">
        <f t="shared" si="1"/>
        <v>0</v>
      </c>
      <c r="L6" s="15"/>
      <c r="M6" s="16">
        <f t="shared" si="2"/>
        <v>0</v>
      </c>
      <c r="N6" s="17">
        <f t="shared" si="3"/>
        <v>0</v>
      </c>
    </row>
    <row r="7" spans="1:14" ht="22.05" customHeight="1" x14ac:dyDescent="0.45">
      <c r="A7" s="5" t="s">
        <v>63</v>
      </c>
      <c r="B7" s="5"/>
      <c r="C7" s="5"/>
      <c r="D7" s="5" t="s">
        <v>71</v>
      </c>
      <c r="E7" s="5" t="s">
        <v>70</v>
      </c>
      <c r="F7" s="5"/>
      <c r="G7" s="5"/>
      <c r="H7" s="5"/>
      <c r="I7" s="5"/>
      <c r="J7" s="14">
        <f t="shared" si="0"/>
        <v>0</v>
      </c>
      <c r="K7" s="14">
        <f t="shared" si="1"/>
        <v>0</v>
      </c>
      <c r="L7" s="15"/>
      <c r="M7" s="16">
        <f t="shared" si="2"/>
        <v>0</v>
      </c>
      <c r="N7" s="17">
        <f t="shared" si="3"/>
        <v>0</v>
      </c>
    </row>
    <row r="8" spans="1:14" ht="22.05" customHeight="1" x14ac:dyDescent="0.45">
      <c r="A8" s="5" t="s">
        <v>64</v>
      </c>
      <c r="B8" s="5" t="s">
        <v>86</v>
      </c>
      <c r="C8" s="5" t="s">
        <v>58</v>
      </c>
      <c r="D8" s="5" t="s">
        <v>71</v>
      </c>
      <c r="E8" s="5" t="s">
        <v>56</v>
      </c>
      <c r="F8" s="5" t="s">
        <v>57</v>
      </c>
      <c r="G8" s="21">
        <v>9214.68</v>
      </c>
      <c r="H8" s="21">
        <v>7000</v>
      </c>
      <c r="I8" s="5"/>
      <c r="J8" s="14">
        <f t="shared" si="0"/>
        <v>0</v>
      </c>
      <c r="K8" s="14">
        <f t="shared" si="1"/>
        <v>0</v>
      </c>
      <c r="L8" s="15"/>
      <c r="M8" s="16">
        <f t="shared" si="2"/>
        <v>0</v>
      </c>
      <c r="N8" s="17">
        <f t="shared" si="3"/>
        <v>0</v>
      </c>
    </row>
    <row r="9" spans="1:14" ht="22.05" customHeight="1" x14ac:dyDescent="0.45">
      <c r="A9" s="5" t="s">
        <v>65</v>
      </c>
      <c r="B9" s="5" t="s">
        <v>72</v>
      </c>
      <c r="C9" s="5" t="s">
        <v>85</v>
      </c>
      <c r="D9" s="5" t="s">
        <v>71</v>
      </c>
      <c r="E9" s="5" t="s">
        <v>56</v>
      </c>
      <c r="F9" s="5" t="s">
        <v>57</v>
      </c>
      <c r="G9" s="21">
        <v>100300</v>
      </c>
      <c r="H9" s="22">
        <v>100000</v>
      </c>
      <c r="I9" s="5"/>
      <c r="J9" s="14">
        <f t="shared" si="0"/>
        <v>0</v>
      </c>
      <c r="K9" s="14">
        <f t="shared" si="1"/>
        <v>0</v>
      </c>
      <c r="L9" s="15"/>
      <c r="M9" s="16">
        <f t="shared" si="2"/>
        <v>0</v>
      </c>
      <c r="N9" s="17">
        <f t="shared" si="3"/>
        <v>0</v>
      </c>
    </row>
    <row r="10" spans="1:14" ht="22.05" customHeight="1" x14ac:dyDescent="0.45">
      <c r="A10" s="5" t="s">
        <v>61</v>
      </c>
      <c r="B10" s="5" t="s">
        <v>68</v>
      </c>
      <c r="C10" s="5" t="s">
        <v>85</v>
      </c>
      <c r="D10" s="5" t="s">
        <v>71</v>
      </c>
      <c r="E10" s="5" t="s">
        <v>56</v>
      </c>
      <c r="F10" s="5" t="s">
        <v>69</v>
      </c>
      <c r="G10" s="21">
        <v>25529</v>
      </c>
      <c r="H10" s="22">
        <v>25000</v>
      </c>
      <c r="I10" s="5"/>
      <c r="J10" s="14">
        <f t="shared" si="0"/>
        <v>0</v>
      </c>
      <c r="K10" s="14">
        <f t="shared" si="1"/>
        <v>0</v>
      </c>
      <c r="L10" s="15"/>
      <c r="M10" s="16">
        <f t="shared" si="2"/>
        <v>0</v>
      </c>
      <c r="N10" s="17">
        <f t="shared" si="3"/>
        <v>0</v>
      </c>
    </row>
    <row r="11" spans="1:14" ht="22.05" customHeight="1" x14ac:dyDescent="0.45">
      <c r="A11" s="5" t="s">
        <v>61</v>
      </c>
      <c r="B11" s="5" t="s">
        <v>73</v>
      </c>
      <c r="C11" s="5" t="s">
        <v>55</v>
      </c>
      <c r="D11" s="5" t="s">
        <v>74</v>
      </c>
      <c r="E11" s="5" t="s">
        <v>56</v>
      </c>
      <c r="F11" s="5" t="s">
        <v>57</v>
      </c>
      <c r="G11" s="21">
        <v>11061.12</v>
      </c>
      <c r="H11" s="21">
        <v>6500</v>
      </c>
      <c r="I11" s="5"/>
      <c r="J11" s="14">
        <f t="shared" si="0"/>
        <v>0</v>
      </c>
      <c r="K11" s="14">
        <f t="shared" si="1"/>
        <v>0</v>
      </c>
      <c r="L11" s="15"/>
      <c r="M11" s="16">
        <f t="shared" si="2"/>
        <v>0</v>
      </c>
      <c r="N11" s="17">
        <f t="shared" si="3"/>
        <v>0</v>
      </c>
    </row>
    <row r="12" spans="1:14" ht="22.05" customHeight="1" x14ac:dyDescent="0.45">
      <c r="A12" s="5" t="s">
        <v>61</v>
      </c>
      <c r="B12" s="5" t="s">
        <v>75</v>
      </c>
      <c r="C12" s="5" t="s">
        <v>55</v>
      </c>
      <c r="D12" s="5" t="s">
        <v>74</v>
      </c>
      <c r="E12" s="5" t="s">
        <v>56</v>
      </c>
      <c r="F12" s="5" t="s">
        <v>57</v>
      </c>
      <c r="G12" s="21">
        <v>31873.22</v>
      </c>
      <c r="H12" s="21">
        <v>29500</v>
      </c>
      <c r="I12" s="5"/>
      <c r="J12" s="14">
        <f t="shared" si="0"/>
        <v>0</v>
      </c>
      <c r="K12" s="14">
        <f t="shared" si="1"/>
        <v>0</v>
      </c>
      <c r="L12" s="15"/>
      <c r="M12" s="16">
        <f t="shared" si="2"/>
        <v>0</v>
      </c>
      <c r="N12" s="17">
        <f t="shared" si="3"/>
        <v>0</v>
      </c>
    </row>
    <row r="13" spans="1:14" ht="22.05" customHeight="1" x14ac:dyDescent="0.45">
      <c r="A13" s="5" t="s">
        <v>61</v>
      </c>
      <c r="B13" s="5" t="s">
        <v>76</v>
      </c>
      <c r="C13" s="5" t="s">
        <v>55</v>
      </c>
      <c r="D13" s="5" t="s">
        <v>74</v>
      </c>
      <c r="E13" s="5" t="s">
        <v>56</v>
      </c>
      <c r="F13" s="5" t="s">
        <v>57</v>
      </c>
      <c r="G13" s="21">
        <v>61923.9</v>
      </c>
      <c r="H13" s="21">
        <v>57500</v>
      </c>
      <c r="I13" s="5"/>
      <c r="J13" s="14">
        <f t="shared" si="0"/>
        <v>0</v>
      </c>
      <c r="K13" s="14">
        <f t="shared" si="1"/>
        <v>0</v>
      </c>
      <c r="L13" s="15"/>
      <c r="M13" s="16">
        <f t="shared" si="2"/>
        <v>0</v>
      </c>
      <c r="N13" s="17">
        <f t="shared" si="3"/>
        <v>0</v>
      </c>
    </row>
    <row r="14" spans="1:14" ht="22.05" customHeight="1" x14ac:dyDescent="0.45">
      <c r="A14" s="5" t="s">
        <v>61</v>
      </c>
      <c r="B14" s="5" t="s">
        <v>77</v>
      </c>
      <c r="C14" s="5" t="s">
        <v>58</v>
      </c>
      <c r="D14" s="5" t="s">
        <v>74</v>
      </c>
      <c r="E14" s="5" t="s">
        <v>56</v>
      </c>
      <c r="F14" s="5" t="s">
        <v>57</v>
      </c>
      <c r="G14" s="21">
        <v>5160.25</v>
      </c>
      <c r="H14" s="5">
        <v>4167.53</v>
      </c>
      <c r="I14" s="5"/>
      <c r="J14" s="14">
        <f>G14*I14</f>
        <v>0</v>
      </c>
      <c r="K14" s="14">
        <f>H14*I14</f>
        <v>0</v>
      </c>
      <c r="L14" s="15"/>
      <c r="M14" s="16">
        <f t="shared" si="2"/>
        <v>0</v>
      </c>
      <c r="N14" s="17">
        <f t="shared" si="3"/>
        <v>0</v>
      </c>
    </row>
    <row r="15" spans="1:14" ht="22.05" customHeight="1" x14ac:dyDescent="0.45">
      <c r="A15" s="5" t="s">
        <v>61</v>
      </c>
      <c r="B15" s="5" t="s">
        <v>75</v>
      </c>
      <c r="C15" s="5" t="s">
        <v>58</v>
      </c>
      <c r="D15" s="5" t="s">
        <v>74</v>
      </c>
      <c r="E15" s="5" t="s">
        <v>56</v>
      </c>
      <c r="F15" s="5" t="s">
        <v>57</v>
      </c>
      <c r="G15" s="21">
        <v>144755.87</v>
      </c>
      <c r="H15" s="21">
        <v>150000</v>
      </c>
      <c r="I15" s="5"/>
      <c r="J15" s="14">
        <f t="shared" si="0"/>
        <v>0</v>
      </c>
      <c r="K15" s="14">
        <f t="shared" si="1"/>
        <v>0</v>
      </c>
      <c r="L15" s="15"/>
      <c r="M15" s="16">
        <f t="shared" si="2"/>
        <v>0</v>
      </c>
      <c r="N15" s="17">
        <f t="shared" si="3"/>
        <v>0</v>
      </c>
    </row>
    <row r="16" spans="1:14" ht="22.05" customHeight="1" x14ac:dyDescent="0.45">
      <c r="A16" s="5" t="s">
        <v>61</v>
      </c>
      <c r="B16" s="5" t="s">
        <v>78</v>
      </c>
      <c r="C16" s="5" t="s">
        <v>55</v>
      </c>
      <c r="D16" s="5" t="s">
        <v>79</v>
      </c>
      <c r="E16" s="5" t="s">
        <v>56</v>
      </c>
      <c r="F16" s="5" t="s">
        <v>57</v>
      </c>
      <c r="G16" s="21">
        <v>85651.77</v>
      </c>
      <c r="H16" s="21">
        <v>64200</v>
      </c>
      <c r="I16" s="5"/>
      <c r="J16" s="14">
        <f t="shared" si="0"/>
        <v>0</v>
      </c>
      <c r="K16" s="14">
        <f t="shared" si="1"/>
        <v>0</v>
      </c>
      <c r="L16" s="15"/>
      <c r="M16" s="16">
        <f t="shared" si="2"/>
        <v>0</v>
      </c>
      <c r="N16" s="17">
        <f t="shared" si="3"/>
        <v>0</v>
      </c>
    </row>
    <row r="17" spans="1:14" ht="22.05" customHeight="1" x14ac:dyDescent="0.45">
      <c r="A17" s="5" t="s">
        <v>62</v>
      </c>
      <c r="B17" s="5" t="s">
        <v>73</v>
      </c>
      <c r="C17" s="5" t="s">
        <v>55</v>
      </c>
      <c r="D17" s="5" t="s">
        <v>74</v>
      </c>
      <c r="E17" s="5" t="s">
        <v>56</v>
      </c>
      <c r="F17" s="5" t="s">
        <v>57</v>
      </c>
      <c r="G17" s="21">
        <v>26312.86</v>
      </c>
      <c r="H17" s="21">
        <v>15000</v>
      </c>
      <c r="I17" s="5"/>
      <c r="J17" s="14">
        <f t="shared" si="0"/>
        <v>0</v>
      </c>
      <c r="K17" s="14">
        <f t="shared" si="1"/>
        <v>0</v>
      </c>
      <c r="L17" s="15"/>
      <c r="M17" s="16">
        <f t="shared" si="2"/>
        <v>0</v>
      </c>
      <c r="N17" s="17">
        <f t="shared" si="3"/>
        <v>0</v>
      </c>
    </row>
    <row r="18" spans="1:14" ht="22.05" customHeight="1" x14ac:dyDescent="0.45">
      <c r="A18" s="5" t="s">
        <v>62</v>
      </c>
      <c r="B18" s="5" t="s">
        <v>75</v>
      </c>
      <c r="C18" s="5" t="s">
        <v>55</v>
      </c>
      <c r="D18" s="5" t="s">
        <v>74</v>
      </c>
      <c r="E18" s="5" t="s">
        <v>56</v>
      </c>
      <c r="F18" s="5" t="s">
        <v>57</v>
      </c>
      <c r="G18" s="21">
        <v>107612.64</v>
      </c>
      <c r="H18" s="21">
        <v>99600</v>
      </c>
      <c r="I18" s="5"/>
      <c r="J18" s="14">
        <f t="shared" si="0"/>
        <v>0</v>
      </c>
      <c r="K18" s="14">
        <f t="shared" si="1"/>
        <v>0</v>
      </c>
      <c r="L18" s="15"/>
      <c r="M18" s="16">
        <f t="shared" si="2"/>
        <v>0</v>
      </c>
      <c r="N18" s="17">
        <f t="shared" si="3"/>
        <v>0</v>
      </c>
    </row>
    <row r="19" spans="1:14" ht="22.05" customHeight="1" x14ac:dyDescent="0.45">
      <c r="A19" s="5" t="s">
        <v>62</v>
      </c>
      <c r="B19" s="5" t="s">
        <v>76</v>
      </c>
      <c r="C19" s="5" t="s">
        <v>55</v>
      </c>
      <c r="D19" s="5" t="s">
        <v>74</v>
      </c>
      <c r="E19" s="5" t="s">
        <v>56</v>
      </c>
      <c r="F19" s="5" t="s">
        <v>57</v>
      </c>
      <c r="G19" s="21">
        <v>182820</v>
      </c>
      <c r="H19" s="21">
        <v>174200</v>
      </c>
      <c r="I19" s="5"/>
      <c r="J19" s="14">
        <f t="shared" si="0"/>
        <v>0</v>
      </c>
      <c r="K19" s="14">
        <f t="shared" si="1"/>
        <v>0</v>
      </c>
      <c r="L19" s="15"/>
      <c r="M19" s="16">
        <f t="shared" si="2"/>
        <v>0</v>
      </c>
      <c r="N19" s="17">
        <f t="shared" si="3"/>
        <v>0</v>
      </c>
    </row>
    <row r="20" spans="1:14" ht="22.05" customHeight="1" x14ac:dyDescent="0.45">
      <c r="A20" s="5" t="s">
        <v>62</v>
      </c>
      <c r="B20" s="5" t="s">
        <v>77</v>
      </c>
      <c r="C20" s="5" t="s">
        <v>58</v>
      </c>
      <c r="D20" s="5" t="s">
        <v>74</v>
      </c>
      <c r="E20" s="5" t="s">
        <v>56</v>
      </c>
      <c r="F20" s="5" t="s">
        <v>57</v>
      </c>
      <c r="G20" s="21">
        <v>21229.119999999999</v>
      </c>
      <c r="H20" s="21">
        <v>14957.36</v>
      </c>
      <c r="I20" s="5"/>
      <c r="J20" s="14">
        <f t="shared" si="0"/>
        <v>0</v>
      </c>
      <c r="K20" s="14">
        <f t="shared" si="1"/>
        <v>0</v>
      </c>
      <c r="L20" s="15"/>
      <c r="M20" s="16">
        <f t="shared" si="2"/>
        <v>0</v>
      </c>
      <c r="N20" s="17">
        <f t="shared" si="3"/>
        <v>0</v>
      </c>
    </row>
    <row r="21" spans="1:14" ht="22.05" customHeight="1" x14ac:dyDescent="0.45">
      <c r="A21" s="5" t="s">
        <v>62</v>
      </c>
      <c r="B21" s="5" t="s">
        <v>75</v>
      </c>
      <c r="C21" s="5" t="s">
        <v>58</v>
      </c>
      <c r="D21" s="5" t="s">
        <v>74</v>
      </c>
      <c r="E21" s="5" t="s">
        <v>56</v>
      </c>
      <c r="F21" s="5" t="s">
        <v>57</v>
      </c>
      <c r="G21" s="21">
        <v>19410.939999999999</v>
      </c>
      <c r="H21" s="21">
        <v>19246.7</v>
      </c>
      <c r="I21" s="5"/>
      <c r="J21" s="14">
        <f t="shared" si="0"/>
        <v>0</v>
      </c>
      <c r="K21" s="14">
        <f t="shared" si="1"/>
        <v>0</v>
      </c>
      <c r="L21" s="15"/>
      <c r="M21" s="16">
        <f t="shared" si="2"/>
        <v>0</v>
      </c>
      <c r="N21" s="17">
        <f t="shared" si="3"/>
        <v>0</v>
      </c>
    </row>
    <row r="22" spans="1:14" ht="22.05" customHeight="1" x14ac:dyDescent="0.45">
      <c r="A22" s="5" t="s">
        <v>63</v>
      </c>
      <c r="B22" s="5" t="s">
        <v>73</v>
      </c>
      <c r="C22" s="5" t="s">
        <v>55</v>
      </c>
      <c r="D22" s="5" t="s">
        <v>74</v>
      </c>
      <c r="E22" s="5" t="s">
        <v>56</v>
      </c>
      <c r="F22" s="5" t="s">
        <v>57</v>
      </c>
      <c r="G22" s="21">
        <v>17541.91</v>
      </c>
      <c r="H22" s="21">
        <v>10000</v>
      </c>
      <c r="I22" s="5"/>
      <c r="J22" s="14">
        <f t="shared" si="0"/>
        <v>0</v>
      </c>
      <c r="K22" s="14">
        <f t="shared" si="1"/>
        <v>0</v>
      </c>
      <c r="L22" s="15"/>
      <c r="M22" s="16">
        <f t="shared" si="2"/>
        <v>0</v>
      </c>
      <c r="N22" s="17">
        <f t="shared" si="3"/>
        <v>0</v>
      </c>
    </row>
    <row r="23" spans="1:14" ht="22.05" customHeight="1" x14ac:dyDescent="0.45">
      <c r="A23" s="5" t="s">
        <v>63</v>
      </c>
      <c r="B23" s="5" t="s">
        <v>75</v>
      </c>
      <c r="C23" s="5" t="s">
        <v>55</v>
      </c>
      <c r="D23" s="5" t="s">
        <v>74</v>
      </c>
      <c r="E23" s="5" t="s">
        <v>56</v>
      </c>
      <c r="F23" s="5" t="s">
        <v>57</v>
      </c>
      <c r="G23" s="21">
        <v>56615.5</v>
      </c>
      <c r="H23" s="21">
        <v>52400</v>
      </c>
      <c r="I23" s="5"/>
      <c r="J23" s="14">
        <f t="shared" si="0"/>
        <v>0</v>
      </c>
      <c r="K23" s="14">
        <f t="shared" si="1"/>
        <v>0</v>
      </c>
      <c r="L23" s="15"/>
      <c r="M23" s="16">
        <f t="shared" si="2"/>
        <v>0</v>
      </c>
      <c r="N23" s="17">
        <f t="shared" si="3"/>
        <v>0</v>
      </c>
    </row>
    <row r="24" spans="1:14" ht="22.05" customHeight="1" x14ac:dyDescent="0.45">
      <c r="A24" s="5" t="s">
        <v>63</v>
      </c>
      <c r="B24" s="5" t="s">
        <v>77</v>
      </c>
      <c r="C24" s="5" t="s">
        <v>58</v>
      </c>
      <c r="D24" s="5" t="s">
        <v>74</v>
      </c>
      <c r="E24" s="5" t="s">
        <v>56</v>
      </c>
      <c r="F24" s="5" t="s">
        <v>57</v>
      </c>
      <c r="G24" s="21">
        <v>21215.77</v>
      </c>
      <c r="H24" s="21">
        <v>14957.36</v>
      </c>
      <c r="I24" s="5"/>
      <c r="J24" s="14">
        <f t="shared" si="0"/>
        <v>0</v>
      </c>
      <c r="K24" s="14">
        <f t="shared" si="1"/>
        <v>0</v>
      </c>
      <c r="L24" s="15"/>
      <c r="M24" s="16">
        <f t="shared" si="2"/>
        <v>0</v>
      </c>
      <c r="N24" s="17">
        <f t="shared" si="3"/>
        <v>0</v>
      </c>
    </row>
    <row r="25" spans="1:14" ht="22.05" customHeight="1" x14ac:dyDescent="0.45">
      <c r="A25" s="5" t="s">
        <v>63</v>
      </c>
      <c r="B25" s="5" t="s">
        <v>75</v>
      </c>
      <c r="C25" s="5" t="s">
        <v>58</v>
      </c>
      <c r="D25" s="5" t="s">
        <v>74</v>
      </c>
      <c r="E25" s="5" t="s">
        <v>56</v>
      </c>
      <c r="F25" s="5" t="s">
        <v>57</v>
      </c>
      <c r="G25" s="21">
        <v>58030.74</v>
      </c>
      <c r="H25" s="21">
        <v>57542.68</v>
      </c>
      <c r="I25" s="5"/>
      <c r="J25" s="14">
        <f t="shared" si="0"/>
        <v>0</v>
      </c>
      <c r="K25" s="14">
        <f t="shared" si="1"/>
        <v>0</v>
      </c>
      <c r="L25" s="15"/>
      <c r="M25" s="16">
        <f t="shared" si="2"/>
        <v>0</v>
      </c>
      <c r="N25" s="17">
        <f t="shared" si="3"/>
        <v>0</v>
      </c>
    </row>
    <row r="26" spans="1:14" ht="22.05" customHeight="1" x14ac:dyDescent="0.45">
      <c r="A26" s="5" t="s">
        <v>64</v>
      </c>
      <c r="B26" s="5" t="s">
        <v>75</v>
      </c>
      <c r="C26" s="5" t="s">
        <v>55</v>
      </c>
      <c r="D26" s="5" t="s">
        <v>74</v>
      </c>
      <c r="E26" s="5" t="s">
        <v>56</v>
      </c>
      <c r="F26" s="5" t="s">
        <v>57</v>
      </c>
      <c r="G26" s="21">
        <v>45583.91</v>
      </c>
      <c r="H26" s="21">
        <v>42300</v>
      </c>
      <c r="I26" s="5"/>
      <c r="J26" s="14">
        <f t="shared" si="0"/>
        <v>0</v>
      </c>
      <c r="K26" s="14">
        <f t="shared" si="1"/>
        <v>0</v>
      </c>
      <c r="L26" s="15"/>
      <c r="M26" s="16">
        <f t="shared" si="2"/>
        <v>0</v>
      </c>
      <c r="N26" s="17">
        <f t="shared" si="3"/>
        <v>0</v>
      </c>
    </row>
    <row r="27" spans="1:14" ht="22.05" customHeight="1" x14ac:dyDescent="0.45">
      <c r="A27" s="5" t="s">
        <v>64</v>
      </c>
      <c r="B27" s="5" t="s">
        <v>76</v>
      </c>
      <c r="C27" s="5" t="s">
        <v>55</v>
      </c>
      <c r="D27" s="5" t="s">
        <v>74</v>
      </c>
      <c r="E27" s="5" t="s">
        <v>56</v>
      </c>
      <c r="F27" s="5" t="s">
        <v>57</v>
      </c>
      <c r="G27" s="21">
        <v>48655.27</v>
      </c>
      <c r="H27" s="21">
        <v>48400</v>
      </c>
      <c r="I27" s="5"/>
      <c r="J27" s="14">
        <f t="shared" si="0"/>
        <v>0</v>
      </c>
      <c r="K27" s="14">
        <f t="shared" si="1"/>
        <v>0</v>
      </c>
      <c r="L27" s="15"/>
      <c r="M27" s="16">
        <f t="shared" si="2"/>
        <v>0</v>
      </c>
      <c r="N27" s="17">
        <f t="shared" si="3"/>
        <v>0</v>
      </c>
    </row>
    <row r="28" spans="1:14" ht="22.05" customHeight="1" x14ac:dyDescent="0.45">
      <c r="A28" s="5" t="s">
        <v>64</v>
      </c>
      <c r="B28" s="5" t="s">
        <v>66</v>
      </c>
      <c r="C28" s="5" t="s">
        <v>55</v>
      </c>
      <c r="D28" s="5" t="s">
        <v>74</v>
      </c>
      <c r="E28" s="5" t="s">
        <v>56</v>
      </c>
      <c r="F28" s="5" t="s">
        <v>57</v>
      </c>
      <c r="G28" s="21">
        <v>25079.32</v>
      </c>
      <c r="H28" s="21">
        <v>18000</v>
      </c>
      <c r="I28" s="5"/>
      <c r="J28" s="14">
        <f t="shared" si="0"/>
        <v>0</v>
      </c>
      <c r="K28" s="14">
        <f t="shared" si="1"/>
        <v>0</v>
      </c>
      <c r="L28" s="15"/>
      <c r="M28" s="16">
        <f t="shared" si="2"/>
        <v>0</v>
      </c>
      <c r="N28" s="17">
        <f t="shared" si="3"/>
        <v>0</v>
      </c>
    </row>
    <row r="29" spans="1:14" ht="22.05" customHeight="1" x14ac:dyDescent="0.45">
      <c r="A29" s="5" t="s">
        <v>64</v>
      </c>
      <c r="B29" s="5" t="s">
        <v>78</v>
      </c>
      <c r="C29" s="5" t="s">
        <v>55</v>
      </c>
      <c r="D29" s="5" t="s">
        <v>79</v>
      </c>
      <c r="E29" s="5" t="s">
        <v>70</v>
      </c>
      <c r="F29" s="5"/>
      <c r="G29" s="5"/>
      <c r="H29" s="5"/>
      <c r="I29" s="5"/>
      <c r="J29" s="14">
        <f t="shared" si="0"/>
        <v>0</v>
      </c>
      <c r="K29" s="14">
        <f t="shared" si="1"/>
        <v>0</v>
      </c>
      <c r="L29" s="15"/>
      <c r="M29" s="16">
        <f t="shared" si="2"/>
        <v>0</v>
      </c>
      <c r="N29" s="17">
        <f t="shared" si="3"/>
        <v>0</v>
      </c>
    </row>
    <row r="30" spans="1:14" ht="22.05" customHeight="1" x14ac:dyDescent="0.45">
      <c r="A30" s="5" t="s">
        <v>65</v>
      </c>
      <c r="B30" s="5" t="s">
        <v>80</v>
      </c>
      <c r="C30" s="5" t="s">
        <v>58</v>
      </c>
      <c r="D30" s="5" t="s">
        <v>74</v>
      </c>
      <c r="E30" s="5" t="s">
        <v>56</v>
      </c>
      <c r="F30" s="5" t="s">
        <v>57</v>
      </c>
      <c r="G30" s="21">
        <v>35209.230000000003</v>
      </c>
      <c r="H30" s="21">
        <v>30545.46</v>
      </c>
      <c r="I30" s="5"/>
      <c r="J30" s="14">
        <f t="shared" si="0"/>
        <v>0</v>
      </c>
      <c r="K30" s="14">
        <f t="shared" si="1"/>
        <v>0</v>
      </c>
      <c r="L30" s="15"/>
      <c r="M30" s="16">
        <f t="shared" si="2"/>
        <v>0</v>
      </c>
      <c r="N30" s="17">
        <f t="shared" si="3"/>
        <v>0</v>
      </c>
    </row>
    <row r="31" spans="1:14" ht="22.05" customHeight="1" x14ac:dyDescent="0.45">
      <c r="A31" s="5" t="s">
        <v>65</v>
      </c>
      <c r="B31" s="5" t="s">
        <v>81</v>
      </c>
      <c r="C31" s="5" t="s">
        <v>58</v>
      </c>
      <c r="D31" s="5" t="s">
        <v>79</v>
      </c>
      <c r="E31" s="5" t="s">
        <v>56</v>
      </c>
      <c r="F31" s="5" t="s">
        <v>59</v>
      </c>
      <c r="G31" s="21">
        <v>38412.269999999997</v>
      </c>
      <c r="H31" s="21">
        <v>29644.53</v>
      </c>
      <c r="I31" s="5"/>
      <c r="J31" s="14">
        <f t="shared" si="0"/>
        <v>0</v>
      </c>
      <c r="K31" s="14">
        <f t="shared" si="1"/>
        <v>0</v>
      </c>
      <c r="L31" s="15"/>
      <c r="M31" s="16">
        <f t="shared" si="2"/>
        <v>0</v>
      </c>
      <c r="N31" s="17">
        <f t="shared" si="3"/>
        <v>0</v>
      </c>
    </row>
    <row r="32" spans="1:14" ht="25.5" x14ac:dyDescent="0.45">
      <c r="A32" s="5" t="s">
        <v>82</v>
      </c>
      <c r="B32" s="23" t="s">
        <v>83</v>
      </c>
      <c r="C32" s="5" t="s">
        <v>58</v>
      </c>
      <c r="D32" s="5" t="s">
        <v>74</v>
      </c>
      <c r="E32" s="5" t="s">
        <v>56</v>
      </c>
      <c r="F32" s="5" t="s">
        <v>57</v>
      </c>
      <c r="G32" s="5">
        <v>104.23</v>
      </c>
      <c r="H32" s="21">
        <v>47000</v>
      </c>
      <c r="I32" s="5"/>
      <c r="J32" s="14">
        <f t="shared" si="0"/>
        <v>0</v>
      </c>
      <c r="K32" s="14">
        <f t="shared" si="1"/>
        <v>0</v>
      </c>
      <c r="L32" s="15"/>
      <c r="M32" s="16">
        <f t="shared" ref="M32:M54" si="4">J32-K32</f>
        <v>0</v>
      </c>
      <c r="N32" s="17">
        <f t="shared" ref="N32:N54" si="5">IF(K32&gt;0,(J32-K32)/K32,0)</f>
        <v>0</v>
      </c>
    </row>
    <row r="33" spans="1:14" ht="22.05" customHeight="1" x14ac:dyDescent="0.45">
      <c r="A33" s="5" t="s">
        <v>82</v>
      </c>
      <c r="B33" s="5" t="s">
        <v>84</v>
      </c>
      <c r="C33" s="5" t="s">
        <v>58</v>
      </c>
      <c r="D33" s="5" t="s">
        <v>74</v>
      </c>
      <c r="E33" s="5" t="s">
        <v>56</v>
      </c>
      <c r="F33" s="5" t="s">
        <v>57</v>
      </c>
      <c r="G33" s="21">
        <v>35460.85</v>
      </c>
      <c r="H33" s="21">
        <v>27925.4</v>
      </c>
      <c r="I33" s="5"/>
      <c r="J33" s="14">
        <f t="shared" si="0"/>
        <v>0</v>
      </c>
      <c r="K33" s="14">
        <f t="shared" si="1"/>
        <v>0</v>
      </c>
      <c r="L33" s="15"/>
      <c r="M33" s="16">
        <f t="shared" si="4"/>
        <v>0</v>
      </c>
      <c r="N33" s="17">
        <f t="shared" si="5"/>
        <v>0</v>
      </c>
    </row>
    <row r="34" spans="1:14" ht="22.05" customHeight="1" x14ac:dyDescent="0.45">
      <c r="A34" s="5" t="s">
        <v>87</v>
      </c>
      <c r="B34" s="5" t="s">
        <v>76</v>
      </c>
      <c r="C34" s="5" t="s">
        <v>55</v>
      </c>
      <c r="D34" s="5" t="s">
        <v>74</v>
      </c>
      <c r="E34" s="5" t="s">
        <v>56</v>
      </c>
      <c r="F34" s="5" t="s">
        <v>57</v>
      </c>
      <c r="G34" s="21">
        <v>59071.57</v>
      </c>
      <c r="H34" s="21">
        <v>53620</v>
      </c>
      <c r="I34" s="5"/>
      <c r="J34" s="14">
        <f t="shared" si="0"/>
        <v>0</v>
      </c>
      <c r="K34" s="14">
        <f t="shared" si="1"/>
        <v>0</v>
      </c>
      <c r="L34" s="15"/>
      <c r="M34" s="16">
        <f t="shared" si="4"/>
        <v>0</v>
      </c>
      <c r="N34" s="17">
        <f t="shared" si="5"/>
        <v>0</v>
      </c>
    </row>
    <row r="35" spans="1:14" ht="22.05" customHeight="1" x14ac:dyDescent="0.45">
      <c r="A35" s="5" t="s">
        <v>87</v>
      </c>
      <c r="B35" s="5" t="s">
        <v>88</v>
      </c>
      <c r="C35" s="5" t="s">
        <v>55</v>
      </c>
      <c r="D35" s="5" t="s">
        <v>74</v>
      </c>
      <c r="E35" s="5" t="s">
        <v>56</v>
      </c>
      <c r="F35" s="5" t="s">
        <v>57</v>
      </c>
      <c r="G35" s="21">
        <v>16177.44</v>
      </c>
      <c r="H35" s="21">
        <v>13680</v>
      </c>
      <c r="I35" s="5"/>
      <c r="J35" s="14">
        <f t="shared" si="0"/>
        <v>0</v>
      </c>
      <c r="K35" s="14">
        <f t="shared" si="1"/>
        <v>0</v>
      </c>
      <c r="L35" s="15"/>
      <c r="M35" s="16">
        <f t="shared" si="4"/>
        <v>0</v>
      </c>
      <c r="N35" s="17">
        <f t="shared" si="5"/>
        <v>0</v>
      </c>
    </row>
    <row r="36" spans="1:14" ht="22.05" customHeight="1" x14ac:dyDescent="0.45">
      <c r="A36" s="5" t="s">
        <v>89</v>
      </c>
      <c r="B36" s="5" t="s">
        <v>90</v>
      </c>
      <c r="C36" s="5" t="s">
        <v>58</v>
      </c>
      <c r="D36" s="5" t="s">
        <v>74</v>
      </c>
      <c r="E36" s="5" t="s">
        <v>56</v>
      </c>
      <c r="F36" s="5" t="s">
        <v>57</v>
      </c>
      <c r="G36" s="21">
        <v>30652.39</v>
      </c>
      <c r="H36" s="21">
        <v>22424.76</v>
      </c>
      <c r="I36" s="5"/>
      <c r="J36" s="14">
        <f t="shared" si="0"/>
        <v>0</v>
      </c>
      <c r="K36" s="14">
        <f t="shared" si="1"/>
        <v>0</v>
      </c>
      <c r="L36" s="15"/>
      <c r="M36" s="16">
        <f t="shared" si="4"/>
        <v>0</v>
      </c>
      <c r="N36" s="17">
        <f t="shared" si="5"/>
        <v>0</v>
      </c>
    </row>
    <row r="37" spans="1:14" ht="22.05" customHeight="1" x14ac:dyDescent="0.45">
      <c r="A37" s="5" t="s">
        <v>91</v>
      </c>
      <c r="B37" s="5" t="s">
        <v>80</v>
      </c>
      <c r="C37" s="5" t="s">
        <v>58</v>
      </c>
      <c r="D37" s="5" t="s">
        <v>74</v>
      </c>
      <c r="E37" s="5" t="s">
        <v>56</v>
      </c>
      <c r="F37" s="5" t="s">
        <v>57</v>
      </c>
      <c r="G37" s="5">
        <v>6.9</v>
      </c>
      <c r="H37" s="5">
        <v>17000</v>
      </c>
      <c r="I37" s="5"/>
      <c r="J37" s="14">
        <f t="shared" ref="J37:J54" si="6">G37*I37</f>
        <v>0</v>
      </c>
      <c r="K37" s="14">
        <f t="shared" ref="K37:K54" si="7">H37*I37</f>
        <v>0</v>
      </c>
      <c r="L37" s="15"/>
      <c r="M37" s="16">
        <f t="shared" si="4"/>
        <v>0</v>
      </c>
      <c r="N37" s="17">
        <f t="shared" si="5"/>
        <v>0</v>
      </c>
    </row>
    <row r="38" spans="1:14" ht="22.05" customHeight="1" x14ac:dyDescent="0.45">
      <c r="A38" s="5" t="s">
        <v>91</v>
      </c>
      <c r="B38" s="23" t="s">
        <v>92</v>
      </c>
      <c r="C38" s="5" t="s">
        <v>58</v>
      </c>
      <c r="D38" s="5" t="s">
        <v>74</v>
      </c>
      <c r="E38" s="5" t="s">
        <v>56</v>
      </c>
      <c r="F38" s="5" t="s">
        <v>57</v>
      </c>
      <c r="G38" s="5">
        <v>6.2</v>
      </c>
      <c r="H38" s="21">
        <v>24473.5</v>
      </c>
      <c r="I38" s="5"/>
      <c r="J38" s="14">
        <f t="shared" si="6"/>
        <v>0</v>
      </c>
      <c r="K38" s="14">
        <f t="shared" si="7"/>
        <v>0</v>
      </c>
      <c r="L38" s="15"/>
      <c r="M38" s="16">
        <f t="shared" si="4"/>
        <v>0</v>
      </c>
      <c r="N38" s="17">
        <f t="shared" si="5"/>
        <v>0</v>
      </c>
    </row>
    <row r="39" spans="1:14" ht="22.05" customHeight="1" x14ac:dyDescent="0.45">
      <c r="A39" s="5"/>
      <c r="B39" s="5"/>
      <c r="C39" s="5"/>
      <c r="D39" s="5"/>
      <c r="E39" s="5"/>
      <c r="F39" s="5"/>
      <c r="G39" s="5"/>
      <c r="H39" s="5"/>
      <c r="I39" s="5"/>
      <c r="J39" s="14">
        <f t="shared" si="6"/>
        <v>0</v>
      </c>
      <c r="K39" s="14">
        <f t="shared" si="7"/>
        <v>0</v>
      </c>
      <c r="L39" s="15"/>
      <c r="M39" s="16">
        <f t="shared" si="4"/>
        <v>0</v>
      </c>
      <c r="N39" s="17">
        <f t="shared" si="5"/>
        <v>0</v>
      </c>
    </row>
    <row r="40" spans="1:14" ht="22.05" customHeight="1" x14ac:dyDescent="0.45">
      <c r="A40" s="5"/>
      <c r="B40" s="5"/>
      <c r="C40" s="5"/>
      <c r="D40" s="5"/>
      <c r="E40" s="5"/>
      <c r="F40" s="5"/>
      <c r="G40" s="5"/>
      <c r="H40" s="5"/>
      <c r="I40" s="5"/>
      <c r="J40" s="14">
        <f t="shared" si="6"/>
        <v>0</v>
      </c>
      <c r="K40" s="14">
        <f t="shared" si="7"/>
        <v>0</v>
      </c>
      <c r="L40" s="15"/>
      <c r="M40" s="16">
        <f t="shared" si="4"/>
        <v>0</v>
      </c>
      <c r="N40" s="17">
        <f t="shared" si="5"/>
        <v>0</v>
      </c>
    </row>
    <row r="41" spans="1:14" ht="22.05" customHeight="1" x14ac:dyDescent="0.45">
      <c r="A41" s="5"/>
      <c r="B41" s="5"/>
      <c r="C41" s="5"/>
      <c r="D41" s="5"/>
      <c r="E41" s="5"/>
      <c r="F41" s="5"/>
      <c r="G41" s="5"/>
      <c r="H41" s="5"/>
      <c r="I41" s="5"/>
      <c r="J41" s="14">
        <f t="shared" si="6"/>
        <v>0</v>
      </c>
      <c r="K41" s="14">
        <f t="shared" si="7"/>
        <v>0</v>
      </c>
      <c r="L41" s="15"/>
      <c r="M41" s="16">
        <f t="shared" si="4"/>
        <v>0</v>
      </c>
      <c r="N41" s="17">
        <f t="shared" si="5"/>
        <v>0</v>
      </c>
    </row>
    <row r="42" spans="1:14" ht="22.05" customHeight="1" x14ac:dyDescent="0.45">
      <c r="A42" s="5"/>
      <c r="B42" s="5"/>
      <c r="C42" s="5"/>
      <c r="D42" s="5"/>
      <c r="E42" s="5"/>
      <c r="F42" s="5"/>
      <c r="G42" s="5"/>
      <c r="H42" s="5"/>
      <c r="I42" s="5"/>
      <c r="J42" s="14">
        <f t="shared" si="6"/>
        <v>0</v>
      </c>
      <c r="K42" s="14">
        <f t="shared" si="7"/>
        <v>0</v>
      </c>
      <c r="L42" s="15"/>
      <c r="M42" s="16">
        <f t="shared" si="4"/>
        <v>0</v>
      </c>
      <c r="N42" s="17">
        <f t="shared" si="5"/>
        <v>0</v>
      </c>
    </row>
    <row r="43" spans="1:14" ht="22.05" customHeight="1" x14ac:dyDescent="0.45">
      <c r="A43" s="5"/>
      <c r="B43" s="5"/>
      <c r="C43" s="5"/>
      <c r="D43" s="5"/>
      <c r="E43" s="5"/>
      <c r="F43" s="5"/>
      <c r="G43" s="5"/>
      <c r="H43" s="5"/>
      <c r="I43" s="5"/>
      <c r="J43" s="14">
        <f t="shared" si="6"/>
        <v>0</v>
      </c>
      <c r="K43" s="14">
        <f t="shared" si="7"/>
        <v>0</v>
      </c>
      <c r="L43" s="15"/>
      <c r="M43" s="16">
        <f t="shared" si="4"/>
        <v>0</v>
      </c>
      <c r="N43" s="17">
        <f t="shared" si="5"/>
        <v>0</v>
      </c>
    </row>
    <row r="44" spans="1:14" ht="22.05" customHeight="1" x14ac:dyDescent="0.45">
      <c r="A44" s="5"/>
      <c r="B44" s="5"/>
      <c r="C44" s="5"/>
      <c r="D44" s="5"/>
      <c r="E44" s="5"/>
      <c r="F44" s="5"/>
      <c r="G44" s="5"/>
      <c r="H44" s="5"/>
      <c r="I44" s="5"/>
      <c r="J44" s="14">
        <f t="shared" si="6"/>
        <v>0</v>
      </c>
      <c r="K44" s="14">
        <f t="shared" si="7"/>
        <v>0</v>
      </c>
      <c r="L44" s="15"/>
      <c r="M44" s="16">
        <f t="shared" si="4"/>
        <v>0</v>
      </c>
      <c r="N44" s="17">
        <f t="shared" si="5"/>
        <v>0</v>
      </c>
    </row>
    <row r="45" spans="1:14" ht="22.05" customHeight="1" x14ac:dyDescent="0.45">
      <c r="A45" s="5"/>
      <c r="B45" s="5"/>
      <c r="C45" s="5"/>
      <c r="D45" s="5"/>
      <c r="E45" s="5"/>
      <c r="F45" s="5"/>
      <c r="G45" s="5"/>
      <c r="H45" s="5"/>
      <c r="I45" s="5"/>
      <c r="J45" s="14">
        <f t="shared" si="6"/>
        <v>0</v>
      </c>
      <c r="K45" s="14">
        <f t="shared" si="7"/>
        <v>0</v>
      </c>
      <c r="L45" s="15"/>
      <c r="M45" s="16">
        <f t="shared" si="4"/>
        <v>0</v>
      </c>
      <c r="N45" s="17">
        <f t="shared" si="5"/>
        <v>0</v>
      </c>
    </row>
    <row r="46" spans="1:14" ht="22.05" customHeight="1" x14ac:dyDescent="0.45">
      <c r="A46" s="5"/>
      <c r="B46" s="5"/>
      <c r="C46" s="5"/>
      <c r="D46" s="5"/>
      <c r="E46" s="5"/>
      <c r="F46" s="5"/>
      <c r="G46" s="5"/>
      <c r="H46" s="5"/>
      <c r="I46" s="5"/>
      <c r="J46" s="14">
        <f t="shared" si="6"/>
        <v>0</v>
      </c>
      <c r="K46" s="14">
        <f t="shared" si="7"/>
        <v>0</v>
      </c>
      <c r="L46" s="15"/>
      <c r="M46" s="16">
        <f t="shared" si="4"/>
        <v>0</v>
      </c>
      <c r="N46" s="17">
        <f t="shared" si="5"/>
        <v>0</v>
      </c>
    </row>
    <row r="47" spans="1:14" ht="22.05" customHeight="1" x14ac:dyDescent="0.45">
      <c r="A47" s="5"/>
      <c r="B47" s="5"/>
      <c r="C47" s="5"/>
      <c r="D47" s="5"/>
      <c r="E47" s="5"/>
      <c r="F47" s="5"/>
      <c r="G47" s="5"/>
      <c r="H47" s="5"/>
      <c r="I47" s="5"/>
      <c r="J47" s="14">
        <f t="shared" si="6"/>
        <v>0</v>
      </c>
      <c r="K47" s="14">
        <f t="shared" si="7"/>
        <v>0</v>
      </c>
      <c r="L47" s="15"/>
      <c r="M47" s="16">
        <f t="shared" si="4"/>
        <v>0</v>
      </c>
      <c r="N47" s="17">
        <f t="shared" si="5"/>
        <v>0</v>
      </c>
    </row>
    <row r="48" spans="1:14" ht="22.05" customHeight="1" x14ac:dyDescent="0.45">
      <c r="A48" s="5"/>
      <c r="B48" s="5"/>
      <c r="C48" s="5"/>
      <c r="D48" s="5"/>
      <c r="E48" s="5"/>
      <c r="F48" s="5"/>
      <c r="G48" s="5"/>
      <c r="H48" s="5"/>
      <c r="I48" s="5"/>
      <c r="J48" s="14">
        <f t="shared" si="6"/>
        <v>0</v>
      </c>
      <c r="K48" s="14">
        <f t="shared" si="7"/>
        <v>0</v>
      </c>
      <c r="L48" s="15"/>
      <c r="M48" s="16">
        <f t="shared" si="4"/>
        <v>0</v>
      </c>
      <c r="N48" s="17">
        <f t="shared" si="5"/>
        <v>0</v>
      </c>
    </row>
    <row r="49" spans="1:14" ht="22.05" customHeight="1" x14ac:dyDescent="0.45">
      <c r="A49" s="5"/>
      <c r="B49" s="5"/>
      <c r="C49" s="5"/>
      <c r="D49" s="5"/>
      <c r="E49" s="5"/>
      <c r="F49" s="5"/>
      <c r="G49" s="5"/>
      <c r="H49" s="5"/>
      <c r="I49" s="5"/>
      <c r="J49" s="14">
        <f t="shared" si="6"/>
        <v>0</v>
      </c>
      <c r="K49" s="14">
        <f t="shared" si="7"/>
        <v>0</v>
      </c>
      <c r="L49" s="15"/>
      <c r="M49" s="16">
        <f t="shared" si="4"/>
        <v>0</v>
      </c>
      <c r="N49" s="17">
        <f t="shared" si="5"/>
        <v>0</v>
      </c>
    </row>
    <row r="50" spans="1:14" ht="22.05" customHeight="1" x14ac:dyDescent="0.45">
      <c r="A50" s="5"/>
      <c r="B50" s="5"/>
      <c r="C50" s="5"/>
      <c r="D50" s="5"/>
      <c r="E50" s="5"/>
      <c r="F50" s="5"/>
      <c r="G50" s="5"/>
      <c r="H50" s="5"/>
      <c r="I50" s="5"/>
      <c r="J50" s="14">
        <f t="shared" si="6"/>
        <v>0</v>
      </c>
      <c r="K50" s="14">
        <f t="shared" si="7"/>
        <v>0</v>
      </c>
      <c r="L50" s="15"/>
      <c r="M50" s="16">
        <f t="shared" si="4"/>
        <v>0</v>
      </c>
      <c r="N50" s="17">
        <f t="shared" si="5"/>
        <v>0</v>
      </c>
    </row>
    <row r="51" spans="1:14" ht="22.05" customHeight="1" x14ac:dyDescent="0.45">
      <c r="A51" s="5"/>
      <c r="B51" s="5"/>
      <c r="C51" s="5"/>
      <c r="D51" s="5"/>
      <c r="E51" s="5"/>
      <c r="F51" s="5"/>
      <c r="G51" s="5"/>
      <c r="H51" s="5"/>
      <c r="I51" s="5"/>
      <c r="J51" s="14">
        <f t="shared" si="6"/>
        <v>0</v>
      </c>
      <c r="K51" s="14">
        <f t="shared" si="7"/>
        <v>0</v>
      </c>
      <c r="L51" s="15"/>
      <c r="M51" s="16">
        <f t="shared" si="4"/>
        <v>0</v>
      </c>
      <c r="N51" s="17">
        <f t="shared" si="5"/>
        <v>0</v>
      </c>
    </row>
    <row r="52" spans="1:14" ht="22.05" customHeight="1" x14ac:dyDescent="0.45">
      <c r="A52" s="5"/>
      <c r="B52" s="5"/>
      <c r="C52" s="5"/>
      <c r="D52" s="5"/>
      <c r="E52" s="5"/>
      <c r="F52" s="5"/>
      <c r="G52" s="5"/>
      <c r="H52" s="5"/>
      <c r="I52" s="5"/>
      <c r="J52" s="14">
        <f t="shared" si="6"/>
        <v>0</v>
      </c>
      <c r="K52" s="14">
        <f t="shared" si="7"/>
        <v>0</v>
      </c>
      <c r="L52" s="15"/>
      <c r="M52" s="16">
        <f t="shared" si="4"/>
        <v>0</v>
      </c>
      <c r="N52" s="17">
        <f t="shared" si="5"/>
        <v>0</v>
      </c>
    </row>
    <row r="53" spans="1:14" ht="22.05" customHeight="1" x14ac:dyDescent="0.45">
      <c r="A53" s="5"/>
      <c r="B53" s="5"/>
      <c r="C53" s="5"/>
      <c r="D53" s="5"/>
      <c r="E53" s="5"/>
      <c r="F53" s="5"/>
      <c r="G53" s="5"/>
      <c r="H53" s="5"/>
      <c r="I53" s="5"/>
      <c r="J53" s="14">
        <f t="shared" si="6"/>
        <v>0</v>
      </c>
      <c r="K53" s="14">
        <f t="shared" si="7"/>
        <v>0</v>
      </c>
      <c r="L53" s="15"/>
      <c r="M53" s="16">
        <f t="shared" si="4"/>
        <v>0</v>
      </c>
      <c r="N53" s="17">
        <f t="shared" si="5"/>
        <v>0</v>
      </c>
    </row>
    <row r="54" spans="1:14" ht="22.05" customHeight="1" x14ac:dyDescent="0.45">
      <c r="A54" s="5"/>
      <c r="B54" s="5"/>
      <c r="C54" s="5"/>
      <c r="D54" s="5"/>
      <c r="E54" s="5"/>
      <c r="F54" s="5"/>
      <c r="G54" s="5"/>
      <c r="H54" s="5"/>
      <c r="I54" s="5"/>
      <c r="J54" s="14">
        <f t="shared" si="6"/>
        <v>0</v>
      </c>
      <c r="K54" s="14">
        <f t="shared" si="7"/>
        <v>0</v>
      </c>
      <c r="L54" s="15"/>
      <c r="M54" s="16">
        <f t="shared" si="4"/>
        <v>0</v>
      </c>
      <c r="N54" s="17">
        <f t="shared" si="5"/>
        <v>0</v>
      </c>
    </row>
    <row r="55" spans="1:14" ht="26" customHeight="1" x14ac:dyDescent="0.45">
      <c r="A55" s="18" t="s">
        <v>60</v>
      </c>
      <c r="B55" s="18" t="s">
        <v>0</v>
      </c>
      <c r="C55" s="18" t="s">
        <v>0</v>
      </c>
      <c r="D55" s="18" t="s">
        <v>0</v>
      </c>
      <c r="E55" s="18" t="s">
        <v>0</v>
      </c>
      <c r="F55" s="18" t="s">
        <v>0</v>
      </c>
      <c r="G55" s="18" t="s">
        <v>0</v>
      </c>
      <c r="H55" s="18" t="s">
        <v>0</v>
      </c>
      <c r="I55" s="18" t="s">
        <v>0</v>
      </c>
      <c r="J55" s="19">
        <f>SUM(J5:J54)</f>
        <v>0</v>
      </c>
      <c r="K55" s="19">
        <f>SUM(K5:K54)</f>
        <v>0</v>
      </c>
      <c r="L55" s="18" t="s">
        <v>0</v>
      </c>
      <c r="M55" s="19">
        <f>SUM(M5:M54)</f>
        <v>0</v>
      </c>
      <c r="N55" s="20">
        <f>IF(SUM(K5:K54)&gt;0,SUM(M5:M54)/SUM(K5:K54),0)</f>
        <v>0</v>
      </c>
    </row>
  </sheetData>
  <mergeCells count="2">
    <mergeCell ref="A1:N1"/>
    <mergeCell ref="A2:N2"/>
  </mergeCells>
  <dataValidations count="4">
    <dataValidation type="list" errorStyle="warning" allowBlank="1" showErrorMessage="1" errorTitle="Invalid option" error="Please choose: EPF | Unit Trust | Fixed Deposit | Stocks | Bonds" sqref="C5:C54" xr:uid="{00000000-0002-0000-0100-000000000000}">
      <formula1>"EPF,Unit Trust,Fixed Deposit,Stocks,Bonds"</formula1>
    </dataValidation>
    <dataValidation type="list" errorStyle="warning" allowBlank="1" showErrorMessage="1" errorTitle="Invalid option" error="Please choose: Active | Matured | Redeemed | Pending" sqref="E5:E54" xr:uid="{00000000-0002-0000-0100-000001000000}">
      <formula1>"Active,Matured,Redeemed,Pending"</formula1>
    </dataValidation>
    <dataValidation type="list" errorStyle="warning" allowBlank="1" showErrorMessage="1" errorTitle="Invalid option" error="Please choose: MYR | USD | SGD | GBP | EUR | AUD | HKD | JPY | CNY" sqref="F5:F54" xr:uid="{00000000-0002-0000-0100-000002000000}">
      <formula1>"MYR,USD,SGD,GBP,EUR,AUD,HKD,JPY,CNY"</formula1>
    </dataValidation>
    <dataValidation type="custom" allowBlank="1" showInputMessage="1" promptTitle="Date format" prompt="Enter date as YYYY-MM-DD  e.g. 2026-05-19" sqref="L5:L54" xr:uid="{00000000-0002-0000-0100-000003000000}">
      <formula1>TRUE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READ ME FIRST</vt:lpstr>
      <vt:lpstr>Portfolio Data Entry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2026-05-19T08:11:32Z</dcterms:created>
  <dcterms:modified xsi:type="dcterms:W3CDTF">2026-05-24T03:15:01Z</dcterms:modified>
  <cp:category/>
</cp:coreProperties>
</file>