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EABF76A2-9E27-4876-A5CA-71EBB3242E8B}" xr6:coauthVersionLast="47" xr6:coauthVersionMax="47" xr10:uidLastSave="{00000000-0000-0000-0000-000000000000}"/>
  <bookViews>
    <workbookView xWindow="-98" yWindow="-98" windowWidth="20715" windowHeight="13155" activeTab="1" xr2:uid="{00000000-000D-0000-FFFF-FFFF00000000}"/>
  </bookViews>
  <sheets>
    <sheet name="📋 READ ME FIRST" sheetId="1" r:id="rId1"/>
    <sheet name="Portfolio Data Ent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1" i="2" l="1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52" i="2" l="1"/>
  <c r="J52" i="2"/>
</calcChain>
</file>

<file path=xl/sharedStrings.xml><?xml version="1.0" encoding="utf-8"?>
<sst xmlns="http://schemas.openxmlformats.org/spreadsheetml/2006/main" count="255" uniqueCount="79">
  <si>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</si>
  <si>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</si>
  <si>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</si>
  <si>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</si>
  <si>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</si>
  <si>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</si>
  <si>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</si>
  <si>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</si>
  <si>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</si>
  <si>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</si>
  <si>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</si>
  <si>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</si>
  <si>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</si>
  <si>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</si>
  <si>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</si>
  <si>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</si>
  <si>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</si>
  <si>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</si>
  <si>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</si>
  <si>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</si>
  <si>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</si>
  <si>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</si>
  <si>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</si>
  <si>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</si>
  <si>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</si>
  <si>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</si>
  <si>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</si>
  <si>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</si>
  <si>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</si>
  <si>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</si>
  <si>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</si>
  <si>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</si>
  <si>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</si>
  <si>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</si>
  <si>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</si>
  <si>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</si>
  <si>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</si>
  <si>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</si>
  <si>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</si>
  <si>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</si>
  <si>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</si>
  <si>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</si>
  <si>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</si>
  <si>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</si>
  <si>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</si>
  <si>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</si>
  <si>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</si>
  <si>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</si>
  <si>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</si>
  <si>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</si>
  <si>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</si>
  <si>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</si>
  <si>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EPF</t>
  </si>
  <si>
    <t>Active</t>
  </si>
  <si>
    <t>MYR</t>
  </si>
  <si>
    <t>Unit Trust</t>
  </si>
  <si>
    <t>SGD</t>
  </si>
  <si>
    <t>TOTAL</t>
  </si>
  <si>
    <t>DAMIEN NG TZE HOONG</t>
  </si>
  <si>
    <t>LEONG CHEE KEONG</t>
  </si>
  <si>
    <t>NG MEI CHING</t>
  </si>
  <si>
    <t>KAREN CHEW AI LENG</t>
  </si>
  <si>
    <t>KAM BENG SIM</t>
  </si>
  <si>
    <t>AHAM Select Opportunity Fund</t>
  </si>
  <si>
    <t>Principal Asia Pacific Dynamic Income Fund - MYR</t>
  </si>
  <si>
    <t>LLOYDS 7.086% 31Aug2033 Corp (AUD)</t>
  </si>
  <si>
    <t>AUD</t>
  </si>
  <si>
    <t>Principal PRS Plus Asia Pacific Ex Japan Equity - Class C</t>
  </si>
  <si>
    <t>Ifast</t>
  </si>
  <si>
    <t>MCISIB 5.300% 29Dec2031 Corp (MYR)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</si>
  <si>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</si>
  <si>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</si>
  <si>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</si>
  <si>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</si>
  <si>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</si>
  <si>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</si>
  <si>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</si>
  <si>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Phillip Master Money Market Fund</t>
  </si>
  <si>
    <t>PGWA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</si>
</sst>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15" x14ac:knownFonts="1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0" fontId="14" fillId="10" borderId="3" xfId="0" applyFont="1" applyFill="1" applyBorder="1"/>
    <xf numFmtId="164" fontId="14" fillId="10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6" workbookViewId="0">
      <selection activeCell="B8" sqref="B8"/>
    </sheetView>
  </sheetViews>
  <sheetFormatPr defaultRowHeight="14.25" x14ac:dyDescent="0.45"/>
  <cols>
    <col min="1" max="1" width="5" customWidth="1"/>
    <col min="2" max="2" width="60" customWidth="1"/>
    <col min="3" max="3" width="5" customWidth="1"/>
  </cols>
  <sheetData>
    <row r="2" spans="1:3" ht="20.65" x14ac:dyDescent="0.45">
      <c r="A2" t="s">
        <v>0</v>
      </c>
      <c r="B2" s="1" t="s">
        <v>1</v>
      </c>
      <c r="C2" t="s">
        <v>0</v>
      </c>
    </row>
    <row r="3" spans="1:3" x14ac:dyDescent="0.45">
      <c r="A3" t="s">
        <v>0</v>
      </c>
      <c r="B3" s="2" t="s">
        <v>2</v>
      </c>
      <c r="C3" t="s">
        <v>0</v>
      </c>
    </row>
    <row r="5" spans="1:3" x14ac:dyDescent="0.45">
      <c r="A5" t="s">
        <v>0</v>
      </c>
      <c r="B5" s="3" t="s">
        <v>3</v>
      </c>
      <c r="C5" t="s">
        <v>0</v>
      </c>
    </row>
    <row r="6" spans="1:3" x14ac:dyDescent="0.45">
      <c r="A6" t="s">
        <v>0</v>
      </c>
      <c r="B6" s="4" t="s">
        <v>4</v>
      </c>
      <c r="C6" t="s">
        <v>0</v>
      </c>
    </row>
    <row r="7" spans="1:3" x14ac:dyDescent="0.45">
      <c r="A7" t="s">
        <v>0</v>
      </c>
      <c r="B7" s="4" t="s">
        <v>5</v>
      </c>
      <c r="C7" t="s">
        <v>0</v>
      </c>
    </row>
    <row r="8" spans="1:3" x14ac:dyDescent="0.45">
      <c r="A8" t="s">
        <v>0</v>
      </c>
      <c r="B8" s="4" t="s">
        <v>6</v>
      </c>
      <c r="C8" t="s">
        <v>0</v>
      </c>
    </row>
    <row r="9" spans="1:3" ht="25.5" x14ac:dyDescent="0.45">
      <c r="A9" t="s">
        <v>0</v>
      </c>
      <c r="B9" s="4" t="s">
        <v>7</v>
      </c>
      <c r="C9" t="s">
        <v>0</v>
      </c>
    </row>
    <row r="10" spans="1:3" ht="25.5" x14ac:dyDescent="0.45">
      <c r="A10" t="s">
        <v>0</v>
      </c>
      <c r="B10" s="4" t="s">
        <v>8</v>
      </c>
      <c r="C10" t="s">
        <v>0</v>
      </c>
    </row>
    <row r="11" spans="1:3" ht="25.5" x14ac:dyDescent="0.45">
      <c r="A11" t="s">
        <v>0</v>
      </c>
      <c r="B11" s="4" t="s">
        <v>9</v>
      </c>
      <c r="C11" t="s">
        <v>0</v>
      </c>
    </row>
    <row r="12" spans="1:3" x14ac:dyDescent="0.45">
      <c r="A12" t="s">
        <v>0</v>
      </c>
      <c r="B12" s="4" t="s">
        <v>10</v>
      </c>
      <c r="C12" t="s">
        <v>0</v>
      </c>
    </row>
    <row r="13" spans="1:3" x14ac:dyDescent="0.45">
      <c r="A13" t="s">
        <v>0</v>
      </c>
      <c r="B13" s="4" t="s">
        <v>11</v>
      </c>
      <c r="C13" t="s">
        <v>0</v>
      </c>
    </row>
    <row r="14" spans="1:3" ht="25.5" x14ac:dyDescent="0.45">
      <c r="A14" t="s">
        <v>0</v>
      </c>
      <c r="B14" s="4" t="s">
        <v>12</v>
      </c>
      <c r="C14" t="s">
        <v>0</v>
      </c>
    </row>
    <row r="16" spans="1:3" x14ac:dyDescent="0.45">
      <c r="A16" t="s">
        <v>0</v>
      </c>
      <c r="B16" s="3" t="s">
        <v>13</v>
      </c>
      <c r="C16" t="s">
        <v>0</v>
      </c>
    </row>
    <row r="17" spans="1:3" x14ac:dyDescent="0.45">
      <c r="A17" t="s">
        <v>0</v>
      </c>
      <c r="B17" s="5" t="s">
        <v>14</v>
      </c>
      <c r="C17" t="s">
        <v>0</v>
      </c>
    </row>
    <row r="18" spans="1:3" x14ac:dyDescent="0.45">
      <c r="A18" t="s">
        <v>0</v>
      </c>
      <c r="B18" s="6" t="s">
        <v>15</v>
      </c>
      <c r="C18" t="s">
        <v>0</v>
      </c>
    </row>
    <row r="19" spans="1:3" x14ac:dyDescent="0.45">
      <c r="A19" t="s">
        <v>0</v>
      </c>
      <c r="B19" s="7" t="s">
        <v>16</v>
      </c>
      <c r="C19" t="s">
        <v>0</v>
      </c>
    </row>
    <row r="20" spans="1:3" x14ac:dyDescent="0.45">
      <c r="A20" t="s">
        <v>0</v>
      </c>
      <c r="B20" s="8" t="s">
        <v>17</v>
      </c>
      <c r="C20" t="s">
        <v>0</v>
      </c>
    </row>
    <row r="21" spans="1:3" x14ac:dyDescent="0.45">
      <c r="A21" t="s">
        <v>0</v>
      </c>
      <c r="B21" s="9" t="s">
        <v>18</v>
      </c>
      <c r="C21" t="s">
        <v>0</v>
      </c>
    </row>
    <row r="23" spans="1:3" x14ac:dyDescent="0.45">
      <c r="A23" t="s">
        <v>0</v>
      </c>
      <c r="B23" s="3" t="s">
        <v>19</v>
      </c>
      <c r="C23" t="s">
        <v>0</v>
      </c>
    </row>
    <row r="24" spans="1:3" x14ac:dyDescent="0.45">
      <c r="A24" t="s">
        <v>0</v>
      </c>
      <c r="B24" s="4" t="s">
        <v>20</v>
      </c>
      <c r="C24" t="s">
        <v>0</v>
      </c>
    </row>
    <row r="25" spans="1:3" ht="25.5" x14ac:dyDescent="0.45">
      <c r="A25" t="s">
        <v>0</v>
      </c>
      <c r="B25" s="4" t="s">
        <v>21</v>
      </c>
      <c r="C25" t="s">
        <v>0</v>
      </c>
    </row>
    <row r="26" spans="1:3" ht="25.5" x14ac:dyDescent="0.45">
      <c r="A26" t="s">
        <v>0</v>
      </c>
      <c r="B26" s="4" t="s">
        <v>22</v>
      </c>
      <c r="C26" t="s">
        <v>0</v>
      </c>
    </row>
    <row r="27" spans="1:3" ht="25.5" x14ac:dyDescent="0.45">
      <c r="A27" t="s">
        <v>0</v>
      </c>
      <c r="B27" s="4" t="s">
        <v>23</v>
      </c>
      <c r="C27" t="s">
        <v>0</v>
      </c>
    </row>
    <row r="28" spans="1:3" ht="25.5" x14ac:dyDescent="0.45">
      <c r="A28" t="s">
        <v>0</v>
      </c>
      <c r="B28" s="4" t="s">
        <v>24</v>
      </c>
      <c r="C28" t="s">
        <v>0</v>
      </c>
    </row>
    <row r="29" spans="1:3" ht="25.5" x14ac:dyDescent="0.4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"/>
  <sheetViews>
    <sheetView tabSelected="1" workbookViewId="0">
      <pane ySplit="4" topLeftCell="A5" activePane="bottomLeft" state="frozen"/>
      <selection pane="bottomLeft" activeCell="B7" sqref="B7"/>
    </sheetView>
  </sheetViews>
  <sheetFormatPr defaultRowHeight="14.25" x14ac:dyDescent="0.45"/>
  <cols>
    <col min="1" max="1" width="30" customWidth="1"/>
    <col min="2" max="2" width="47.59765625" bestFit="1" customWidth="1"/>
    <col min="3" max="3" width="14" customWidth="1"/>
    <col min="4" max="4" width="22.59765625" bestFit="1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</cols>
  <sheetData>
    <row r="1" spans="1:12" ht="28.05" customHeight="1" x14ac:dyDescent="0.45">
      <c r="A1" s="19" t="s">
        <v>26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ht="20" customHeight="1" x14ac:dyDescent="0.45">
      <c r="A2" s="20" t="s">
        <v>27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32" customHeight="1" x14ac:dyDescent="0.45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</row>
    <row r="4" spans="1:12" ht="28.05" customHeight="1" x14ac:dyDescent="0.45">
      <c r="A4" s="12" t="s">
        <v>40</v>
      </c>
      <c r="B4" s="12" t="s">
        <v>41</v>
      </c>
      <c r="C4" s="12" t="s">
        <v>42</v>
      </c>
      <c r="D4" s="12" t="s">
        <v>43</v>
      </c>
      <c r="E4" s="12" t="s">
        <v>44</v>
      </c>
      <c r="F4" s="12" t="s">
        <v>45</v>
      </c>
      <c r="G4" s="12" t="s">
        <v>46</v>
      </c>
      <c r="H4" s="12" t="s">
        <v>47</v>
      </c>
      <c r="I4" s="12" t="s">
        <v>48</v>
      </c>
      <c r="J4" s="12" t="s">
        <v>49</v>
      </c>
      <c r="K4" s="12" t="s">
        <v>50</v>
      </c>
      <c r="L4" s="12" t="s">
        <v>51</v>
      </c>
    </row>
    <row r="5" spans="1:12" ht="22.05" customHeight="1" x14ac:dyDescent="0.45">
      <c r="A5" s="5" t="s">
        <v>58</v>
      </c>
      <c r="B5" s="5" t="s">
        <v>64</v>
      </c>
      <c r="C5" s="5" t="s">
        <v>52</v>
      </c>
      <c r="D5" s="5" t="s">
        <v>68</v>
      </c>
      <c r="E5" s="5" t="s">
        <v>53</v>
      </c>
      <c r="F5" s="5" t="s">
        <v>54</v>
      </c>
      <c r="G5" s="17">
        <v>8378.34</v>
      </c>
      <c r="H5" s="17">
        <v>4618.37</v>
      </c>
      <c r="I5" s="5">
        <v>1</v>
      </c>
      <c r="J5" s="13">
        <f t="shared" ref="J5:J33" si="0">G5*I5</f>
        <v>8378.34</v>
      </c>
      <c r="K5" s="13">
        <f t="shared" ref="K5:K33" si="1">H5*I5</f>
        <v>4618.37</v>
      </c>
      <c r="L5" s="14"/>
    </row>
    <row r="6" spans="1:12" ht="22.05" customHeight="1" x14ac:dyDescent="0.45">
      <c r="A6" s="5" t="s">
        <v>61</v>
      </c>
      <c r="B6" s="5" t="s">
        <v>67</v>
      </c>
      <c r="C6" s="5" t="s">
        <v>55</v>
      </c>
      <c r="D6" s="5" t="s">
        <v>68</v>
      </c>
      <c r="E6" s="5" t="s">
        <v>53</v>
      </c>
      <c r="F6" s="5" t="s">
        <v>54</v>
      </c>
      <c r="G6" s="17">
        <v>9214.68</v>
      </c>
      <c r="H6" s="17">
        <v>7000</v>
      </c>
      <c r="I6" s="5">
        <v>1</v>
      </c>
      <c r="J6" s="13">
        <f t="shared" si="0"/>
        <v>9214.68</v>
      </c>
      <c r="K6" s="13">
        <f t="shared" si="1"/>
        <v>7000</v>
      </c>
      <c r="L6" s="14"/>
    </row>
    <row r="7" spans="1:12" ht="22.05" customHeight="1" x14ac:dyDescent="0.45">
      <c r="A7" s="5" t="s">
        <v>62</v>
      </c>
      <c r="B7" s="5" t="s">
        <v>69</v>
      </c>
      <c r="C7" s="5" t="s">
        <v>55</v>
      </c>
      <c r="D7" s="5" t="s">
        <v>68</v>
      </c>
      <c r="E7" s="5" t="s">
        <v>53</v>
      </c>
      <c r="F7" s="5" t="s">
        <v>54</v>
      </c>
      <c r="G7" s="17">
        <v>100300</v>
      </c>
      <c r="H7" s="18">
        <v>100000</v>
      </c>
      <c r="I7" s="5">
        <v>1</v>
      </c>
      <c r="J7" s="13">
        <f t="shared" si="0"/>
        <v>100300</v>
      </c>
      <c r="K7" s="13">
        <f t="shared" si="1"/>
        <v>100000</v>
      </c>
      <c r="L7" s="14"/>
    </row>
    <row r="8" spans="1:12" ht="22.05" customHeight="1" x14ac:dyDescent="0.45">
      <c r="A8" s="5" t="s">
        <v>58</v>
      </c>
      <c r="B8" s="5" t="s">
        <v>65</v>
      </c>
      <c r="C8" s="5" t="s">
        <v>55</v>
      </c>
      <c r="D8" s="5" t="s">
        <v>68</v>
      </c>
      <c r="E8" s="5" t="s">
        <v>53</v>
      </c>
      <c r="F8" s="5" t="s">
        <v>66</v>
      </c>
      <c r="G8" s="17">
        <v>25529</v>
      </c>
      <c r="H8" s="18">
        <v>25000</v>
      </c>
      <c r="I8" s="5">
        <v>2.8</v>
      </c>
      <c r="J8" s="13">
        <f t="shared" si="0"/>
        <v>71481.2</v>
      </c>
      <c r="K8" s="13">
        <f t="shared" si="1"/>
        <v>70000</v>
      </c>
      <c r="L8" s="14"/>
    </row>
    <row r="9" spans="1:12" ht="22.05" customHeight="1" x14ac:dyDescent="0.45">
      <c r="A9" s="5" t="s">
        <v>58</v>
      </c>
      <c r="B9" s="5" t="s">
        <v>70</v>
      </c>
      <c r="C9" s="5" t="s">
        <v>52</v>
      </c>
      <c r="D9" s="5" t="s">
        <v>71</v>
      </c>
      <c r="E9" s="5" t="s">
        <v>53</v>
      </c>
      <c r="F9" s="5" t="s">
        <v>54</v>
      </c>
      <c r="G9" s="17">
        <v>11061.12</v>
      </c>
      <c r="H9" s="17">
        <v>6500</v>
      </c>
      <c r="I9" s="5">
        <v>1</v>
      </c>
      <c r="J9" s="13">
        <f t="shared" si="0"/>
        <v>11061.12</v>
      </c>
      <c r="K9" s="13">
        <f t="shared" si="1"/>
        <v>6500</v>
      </c>
      <c r="L9" s="14"/>
    </row>
    <row r="10" spans="1:12" ht="22.05" customHeight="1" x14ac:dyDescent="0.45">
      <c r="A10" s="5" t="s">
        <v>58</v>
      </c>
      <c r="B10" s="5" t="s">
        <v>72</v>
      </c>
      <c r="C10" s="5" t="s">
        <v>52</v>
      </c>
      <c r="D10" s="5" t="s">
        <v>71</v>
      </c>
      <c r="E10" s="5" t="s">
        <v>53</v>
      </c>
      <c r="F10" s="5" t="s">
        <v>54</v>
      </c>
      <c r="G10" s="17">
        <v>31873.22</v>
      </c>
      <c r="H10" s="17">
        <v>29500</v>
      </c>
      <c r="I10" s="5">
        <v>1</v>
      </c>
      <c r="J10" s="13">
        <f t="shared" si="0"/>
        <v>31873.22</v>
      </c>
      <c r="K10" s="13">
        <f t="shared" si="1"/>
        <v>29500</v>
      </c>
      <c r="L10" s="14"/>
    </row>
    <row r="11" spans="1:12" ht="22.05" customHeight="1" x14ac:dyDescent="0.45">
      <c r="A11" s="5" t="s">
        <v>58</v>
      </c>
      <c r="B11" s="5" t="s">
        <v>73</v>
      </c>
      <c r="C11" s="5" t="s">
        <v>52</v>
      </c>
      <c r="D11" s="5" t="s">
        <v>71</v>
      </c>
      <c r="E11" s="5" t="s">
        <v>53</v>
      </c>
      <c r="F11" s="5" t="s">
        <v>54</v>
      </c>
      <c r="G11" s="17">
        <v>61923.9</v>
      </c>
      <c r="H11" s="17">
        <v>57500</v>
      </c>
      <c r="I11" s="5">
        <v>1</v>
      </c>
      <c r="J11" s="13">
        <f t="shared" si="0"/>
        <v>61923.9</v>
      </c>
      <c r="K11" s="13">
        <f t="shared" si="1"/>
        <v>57500</v>
      </c>
      <c r="L11" s="14"/>
    </row>
    <row r="12" spans="1:12" ht="22.05" customHeight="1" x14ac:dyDescent="0.45">
      <c r="A12" s="5" t="s">
        <v>58</v>
      </c>
      <c r="B12" s="5" t="s">
        <v>74</v>
      </c>
      <c r="C12" s="5" t="s">
        <v>55</v>
      </c>
      <c r="D12" s="5" t="s">
        <v>71</v>
      </c>
      <c r="E12" s="5" t="s">
        <v>53</v>
      </c>
      <c r="F12" s="5" t="s">
        <v>54</v>
      </c>
      <c r="G12" s="17">
        <v>5160.25</v>
      </c>
      <c r="H12" s="5">
        <v>4167.53</v>
      </c>
      <c r="I12" s="5">
        <v>1</v>
      </c>
      <c r="J12" s="13">
        <f>G12*I12</f>
        <v>5160.25</v>
      </c>
      <c r="K12" s="13">
        <f>H12*I12</f>
        <v>4167.53</v>
      </c>
      <c r="L12" s="14"/>
    </row>
    <row r="13" spans="1:12" ht="22.05" customHeight="1" x14ac:dyDescent="0.45">
      <c r="A13" s="5" t="s">
        <v>58</v>
      </c>
      <c r="B13" s="5" t="s">
        <v>72</v>
      </c>
      <c r="C13" s="5" t="s">
        <v>55</v>
      </c>
      <c r="D13" s="5" t="s">
        <v>71</v>
      </c>
      <c r="E13" s="5" t="s">
        <v>53</v>
      </c>
      <c r="F13" s="5" t="s">
        <v>54</v>
      </c>
      <c r="G13" s="17">
        <v>144755.87</v>
      </c>
      <c r="H13" s="17">
        <v>150000</v>
      </c>
      <c r="I13" s="5">
        <v>1</v>
      </c>
      <c r="J13" s="13">
        <f t="shared" si="0"/>
        <v>144755.87</v>
      </c>
      <c r="K13" s="13">
        <f t="shared" si="1"/>
        <v>150000</v>
      </c>
      <c r="L13" s="14"/>
    </row>
    <row r="14" spans="1:12" ht="22.05" customHeight="1" x14ac:dyDescent="0.45">
      <c r="A14" s="5" t="s">
        <v>58</v>
      </c>
      <c r="B14" s="5" t="s">
        <v>75</v>
      </c>
      <c r="C14" s="5" t="s">
        <v>52</v>
      </c>
      <c r="D14" s="5" t="s">
        <v>76</v>
      </c>
      <c r="E14" s="5" t="s">
        <v>53</v>
      </c>
      <c r="F14" s="5" t="s">
        <v>54</v>
      </c>
      <c r="G14" s="17">
        <v>85651.77</v>
      </c>
      <c r="H14" s="17">
        <v>64200</v>
      </c>
      <c r="I14" s="5">
        <v>1</v>
      </c>
      <c r="J14" s="13">
        <f t="shared" si="0"/>
        <v>85651.77</v>
      </c>
      <c r="K14" s="13">
        <f t="shared" si="1"/>
        <v>64200</v>
      </c>
      <c r="L14" s="14"/>
    </row>
    <row r="15" spans="1:12" ht="22.05" customHeight="1" x14ac:dyDescent="0.45">
      <c r="A15" s="5" t="s">
        <v>59</v>
      </c>
      <c r="B15" s="5" t="s">
        <v>70</v>
      </c>
      <c r="C15" s="5" t="s">
        <v>52</v>
      </c>
      <c r="D15" s="5" t="s">
        <v>71</v>
      </c>
      <c r="E15" s="5" t="s">
        <v>53</v>
      </c>
      <c r="F15" s="5" t="s">
        <v>54</v>
      </c>
      <c r="G15" s="17">
        <v>26312.86</v>
      </c>
      <c r="H15" s="17">
        <v>15000</v>
      </c>
      <c r="I15" s="5">
        <v>1</v>
      </c>
      <c r="J15" s="13">
        <f t="shared" si="0"/>
        <v>26312.86</v>
      </c>
      <c r="K15" s="13">
        <f t="shared" si="1"/>
        <v>15000</v>
      </c>
      <c r="L15" s="14"/>
    </row>
    <row r="16" spans="1:12" ht="22.05" customHeight="1" x14ac:dyDescent="0.45">
      <c r="A16" s="5" t="s">
        <v>59</v>
      </c>
      <c r="B16" s="5" t="s">
        <v>72</v>
      </c>
      <c r="C16" s="5" t="s">
        <v>52</v>
      </c>
      <c r="D16" s="5" t="s">
        <v>71</v>
      </c>
      <c r="E16" s="5" t="s">
        <v>53</v>
      </c>
      <c r="F16" s="5" t="s">
        <v>54</v>
      </c>
      <c r="G16" s="17">
        <v>107612.64</v>
      </c>
      <c r="H16" s="17">
        <v>99600</v>
      </c>
      <c r="I16" s="5">
        <v>1</v>
      </c>
      <c r="J16" s="13">
        <f t="shared" si="0"/>
        <v>107612.64</v>
      </c>
      <c r="K16" s="13">
        <f t="shared" si="1"/>
        <v>99600</v>
      </c>
      <c r="L16" s="14"/>
    </row>
    <row r="17" spans="1:12" ht="22.05" customHeight="1" x14ac:dyDescent="0.45">
      <c r="A17" s="5" t="s">
        <v>59</v>
      </c>
      <c r="B17" s="5" t="s">
        <v>73</v>
      </c>
      <c r="C17" s="5" t="s">
        <v>52</v>
      </c>
      <c r="D17" s="5" t="s">
        <v>71</v>
      </c>
      <c r="E17" s="5" t="s">
        <v>53</v>
      </c>
      <c r="F17" s="5" t="s">
        <v>54</v>
      </c>
      <c r="G17" s="17">
        <v>182820</v>
      </c>
      <c r="H17" s="17">
        <v>174200</v>
      </c>
      <c r="I17" s="5">
        <v>1</v>
      </c>
      <c r="J17" s="13">
        <f t="shared" si="0"/>
        <v>182820</v>
      </c>
      <c r="K17" s="13">
        <f t="shared" si="1"/>
        <v>174200</v>
      </c>
      <c r="L17" s="14"/>
    </row>
    <row r="18" spans="1:12" ht="22.05" customHeight="1" x14ac:dyDescent="0.45">
      <c r="A18" s="5" t="s">
        <v>59</v>
      </c>
      <c r="B18" s="5" t="s">
        <v>74</v>
      </c>
      <c r="C18" s="5" t="s">
        <v>55</v>
      </c>
      <c r="D18" s="5" t="s">
        <v>71</v>
      </c>
      <c r="E18" s="5" t="s">
        <v>53</v>
      </c>
      <c r="F18" s="5" t="s">
        <v>54</v>
      </c>
      <c r="G18" s="17">
        <v>21229.119999999999</v>
      </c>
      <c r="H18" s="17">
        <v>14957.36</v>
      </c>
      <c r="I18" s="5">
        <v>1</v>
      </c>
      <c r="J18" s="13">
        <f t="shared" si="0"/>
        <v>21229.119999999999</v>
      </c>
      <c r="K18" s="13">
        <f t="shared" si="1"/>
        <v>14957.36</v>
      </c>
      <c r="L18" s="14"/>
    </row>
    <row r="19" spans="1:12" ht="22.05" customHeight="1" x14ac:dyDescent="0.45">
      <c r="A19" s="5" t="s">
        <v>59</v>
      </c>
      <c r="B19" s="5" t="s">
        <v>72</v>
      </c>
      <c r="C19" s="5" t="s">
        <v>55</v>
      </c>
      <c r="D19" s="5" t="s">
        <v>71</v>
      </c>
      <c r="E19" s="5" t="s">
        <v>53</v>
      </c>
      <c r="F19" s="5" t="s">
        <v>54</v>
      </c>
      <c r="G19" s="17">
        <v>19410.939999999999</v>
      </c>
      <c r="H19" s="17">
        <v>19246.7</v>
      </c>
      <c r="I19" s="5">
        <v>1</v>
      </c>
      <c r="J19" s="13">
        <f t="shared" si="0"/>
        <v>19410.939999999999</v>
      </c>
      <c r="K19" s="13">
        <f t="shared" si="1"/>
        <v>19246.7</v>
      </c>
      <c r="L19" s="14"/>
    </row>
    <row r="20" spans="1:12" ht="22.05" customHeight="1" x14ac:dyDescent="0.45">
      <c r="A20" s="5" t="s">
        <v>60</v>
      </c>
      <c r="B20" s="5" t="s">
        <v>70</v>
      </c>
      <c r="C20" s="5" t="s">
        <v>52</v>
      </c>
      <c r="D20" s="5" t="s">
        <v>71</v>
      </c>
      <c r="E20" s="5" t="s">
        <v>53</v>
      </c>
      <c r="F20" s="5" t="s">
        <v>54</v>
      </c>
      <c r="G20" s="17">
        <v>17541.91</v>
      </c>
      <c r="H20" s="17">
        <v>10000</v>
      </c>
      <c r="I20" s="5">
        <v>1</v>
      </c>
      <c r="J20" s="13">
        <f t="shared" si="0"/>
        <v>17541.91</v>
      </c>
      <c r="K20" s="13">
        <f t="shared" si="1"/>
        <v>10000</v>
      </c>
      <c r="L20" s="14"/>
    </row>
    <row r="21" spans="1:12" ht="22.05" customHeight="1" x14ac:dyDescent="0.45">
      <c r="A21" s="5" t="s">
        <v>60</v>
      </c>
      <c r="B21" s="5" t="s">
        <v>72</v>
      </c>
      <c r="C21" s="5" t="s">
        <v>52</v>
      </c>
      <c r="D21" s="5" t="s">
        <v>71</v>
      </c>
      <c r="E21" s="5" t="s">
        <v>53</v>
      </c>
      <c r="F21" s="5" t="s">
        <v>54</v>
      </c>
      <c r="G21" s="17">
        <v>56615.5</v>
      </c>
      <c r="H21" s="17">
        <v>52400</v>
      </c>
      <c r="I21" s="5">
        <v>1</v>
      </c>
      <c r="J21" s="13">
        <f t="shared" si="0"/>
        <v>56615.5</v>
      </c>
      <c r="K21" s="13">
        <f t="shared" si="1"/>
        <v>52400</v>
      </c>
      <c r="L21" s="14"/>
    </row>
    <row r="22" spans="1:12" ht="22.05" customHeight="1" x14ac:dyDescent="0.45">
      <c r="A22" s="5" t="s">
        <v>60</v>
      </c>
      <c r="B22" s="5" t="s">
        <v>74</v>
      </c>
      <c r="C22" s="5" t="s">
        <v>55</v>
      </c>
      <c r="D22" s="5" t="s">
        <v>71</v>
      </c>
      <c r="E22" s="5" t="s">
        <v>53</v>
      </c>
      <c r="F22" s="5" t="s">
        <v>54</v>
      </c>
      <c r="G22" s="17">
        <v>21215.77</v>
      </c>
      <c r="H22" s="17">
        <v>14957.36</v>
      </c>
      <c r="I22" s="5">
        <v>1</v>
      </c>
      <c r="J22" s="13">
        <f t="shared" si="0"/>
        <v>21215.77</v>
      </c>
      <c r="K22" s="13">
        <f t="shared" si="1"/>
        <v>14957.36</v>
      </c>
      <c r="L22" s="14"/>
    </row>
    <row r="23" spans="1:12" ht="22.05" customHeight="1" x14ac:dyDescent="0.45">
      <c r="A23" s="5" t="s">
        <v>60</v>
      </c>
      <c r="B23" s="5" t="s">
        <v>72</v>
      </c>
      <c r="C23" s="5" t="s">
        <v>55</v>
      </c>
      <c r="D23" s="5" t="s">
        <v>71</v>
      </c>
      <c r="E23" s="5" t="s">
        <v>53</v>
      </c>
      <c r="F23" s="5" t="s">
        <v>54</v>
      </c>
      <c r="G23" s="17">
        <v>58030.74</v>
      </c>
      <c r="H23" s="17">
        <v>57542.68</v>
      </c>
      <c r="I23" s="5">
        <v>1</v>
      </c>
      <c r="J23" s="13">
        <f t="shared" si="0"/>
        <v>58030.74</v>
      </c>
      <c r="K23" s="13">
        <f t="shared" si="1"/>
        <v>57542.68</v>
      </c>
      <c r="L23" s="14"/>
    </row>
    <row r="24" spans="1:12" ht="22.05" customHeight="1" x14ac:dyDescent="0.45">
      <c r="A24" s="5" t="s">
        <v>61</v>
      </c>
      <c r="B24" s="5" t="s">
        <v>72</v>
      </c>
      <c r="C24" s="5" t="s">
        <v>52</v>
      </c>
      <c r="D24" s="5" t="s">
        <v>71</v>
      </c>
      <c r="E24" s="5" t="s">
        <v>53</v>
      </c>
      <c r="F24" s="5" t="s">
        <v>54</v>
      </c>
      <c r="G24" s="17">
        <v>45583.91</v>
      </c>
      <c r="H24" s="17">
        <v>42300</v>
      </c>
      <c r="I24" s="5">
        <v>1</v>
      </c>
      <c r="J24" s="13">
        <f t="shared" si="0"/>
        <v>45583.91</v>
      </c>
      <c r="K24" s="13">
        <f t="shared" si="1"/>
        <v>42300</v>
      </c>
      <c r="L24" s="14"/>
    </row>
    <row r="25" spans="1:12" ht="22.05" customHeight="1" x14ac:dyDescent="0.45">
      <c r="A25" s="5" t="s">
        <v>61</v>
      </c>
      <c r="B25" s="5" t="s">
        <v>73</v>
      </c>
      <c r="C25" s="5" t="s">
        <v>52</v>
      </c>
      <c r="D25" s="5" t="s">
        <v>71</v>
      </c>
      <c r="E25" s="5" t="s">
        <v>53</v>
      </c>
      <c r="F25" s="5" t="s">
        <v>54</v>
      </c>
      <c r="G25" s="17">
        <v>48655.27</v>
      </c>
      <c r="H25" s="17">
        <v>48400</v>
      </c>
      <c r="I25" s="5">
        <v>1</v>
      </c>
      <c r="J25" s="13">
        <f t="shared" si="0"/>
        <v>48655.27</v>
      </c>
      <c r="K25" s="13">
        <f t="shared" si="1"/>
        <v>48400</v>
      </c>
      <c r="L25" s="14"/>
    </row>
    <row r="26" spans="1:12" ht="22.05" customHeight="1" x14ac:dyDescent="0.45">
      <c r="A26" s="5" t="s">
        <v>61</v>
      </c>
      <c r="B26" s="5" t="s">
        <v>63</v>
      </c>
      <c r="C26" s="5" t="s">
        <v>52</v>
      </c>
      <c r="D26" s="5" t="s">
        <v>71</v>
      </c>
      <c r="E26" s="5" t="s">
        <v>53</v>
      </c>
      <c r="F26" s="5" t="s">
        <v>54</v>
      </c>
      <c r="G26" s="17">
        <v>25079.32</v>
      </c>
      <c r="H26" s="17">
        <v>18000</v>
      </c>
      <c r="I26" s="5">
        <v>1</v>
      </c>
      <c r="J26" s="13">
        <f t="shared" si="0"/>
        <v>25079.32</v>
      </c>
      <c r="K26" s="13">
        <f t="shared" si="1"/>
        <v>18000</v>
      </c>
      <c r="L26" s="14"/>
    </row>
    <row r="27" spans="1:12" ht="22.05" customHeight="1" x14ac:dyDescent="0.45">
      <c r="A27" s="5" t="s">
        <v>62</v>
      </c>
      <c r="B27" s="5" t="s">
        <v>77</v>
      </c>
      <c r="C27" s="5" t="s">
        <v>55</v>
      </c>
      <c r="D27" s="5" t="s">
        <v>71</v>
      </c>
      <c r="E27" s="5" t="s">
        <v>53</v>
      </c>
      <c r="F27" s="5" t="s">
        <v>54</v>
      </c>
      <c r="G27" s="17">
        <v>35209.230000000003</v>
      </c>
      <c r="H27" s="17">
        <v>30545.46</v>
      </c>
      <c r="I27" s="5">
        <v>1</v>
      </c>
      <c r="J27" s="13">
        <f t="shared" si="0"/>
        <v>35209.230000000003</v>
      </c>
      <c r="K27" s="13">
        <f t="shared" si="1"/>
        <v>30545.46</v>
      </c>
      <c r="L27" s="14"/>
    </row>
    <row r="28" spans="1:12" ht="22.05" customHeight="1" x14ac:dyDescent="0.45">
      <c r="A28" s="5" t="s">
        <v>62</v>
      </c>
      <c r="B28" s="5" t="s">
        <v>78</v>
      </c>
      <c r="C28" s="5" t="s">
        <v>55</v>
      </c>
      <c r="D28" s="5" t="s">
        <v>76</v>
      </c>
      <c r="E28" s="5" t="s">
        <v>53</v>
      </c>
      <c r="F28" s="5" t="s">
        <v>56</v>
      </c>
      <c r="G28" s="17">
        <v>38412.269999999997</v>
      </c>
      <c r="H28" s="17">
        <v>29644.53</v>
      </c>
      <c r="I28" s="5">
        <v>3.1</v>
      </c>
      <c r="J28" s="13">
        <f t="shared" si="0"/>
        <v>119078.037</v>
      </c>
      <c r="K28" s="13">
        <f t="shared" si="1"/>
        <v>91898.043000000005</v>
      </c>
      <c r="L28" s="14"/>
    </row>
    <row r="29" spans="1:12" ht="22.05" customHeight="1" x14ac:dyDescent="0.45">
      <c r="A29" s="5"/>
      <c r="B29" s="5"/>
      <c r="C29" s="5"/>
      <c r="D29" s="5"/>
      <c r="E29" s="5"/>
      <c r="F29" s="5"/>
      <c r="G29" s="5"/>
      <c r="H29" s="5"/>
      <c r="I29" s="5"/>
      <c r="J29" s="13">
        <f t="shared" si="0"/>
        <v>0</v>
      </c>
      <c r="K29" s="13">
        <f t="shared" si="1"/>
        <v>0</v>
      </c>
      <c r="L29" s="14"/>
    </row>
    <row r="30" spans="1:12" ht="22.05" customHeight="1" x14ac:dyDescent="0.45">
      <c r="A30" s="5"/>
      <c r="B30" s="5"/>
      <c r="C30" s="5"/>
      <c r="D30" s="5"/>
      <c r="E30" s="5"/>
      <c r="F30" s="5"/>
      <c r="G30" s="5"/>
      <c r="H30" s="5"/>
      <c r="I30" s="5"/>
      <c r="J30" s="13">
        <f t="shared" si="0"/>
        <v>0</v>
      </c>
      <c r="K30" s="13">
        <f t="shared" si="1"/>
        <v>0</v>
      </c>
      <c r="L30" s="14"/>
    </row>
    <row r="31" spans="1:12" ht="22.05" customHeight="1" x14ac:dyDescent="0.45">
      <c r="A31" s="5"/>
      <c r="B31" s="5"/>
      <c r="C31" s="5"/>
      <c r="D31" s="5"/>
      <c r="E31" s="5"/>
      <c r="F31" s="5"/>
      <c r="G31" s="5"/>
      <c r="H31" s="5"/>
      <c r="I31" s="5"/>
      <c r="J31" s="13">
        <f t="shared" si="0"/>
        <v>0</v>
      </c>
      <c r="K31" s="13">
        <f t="shared" si="1"/>
        <v>0</v>
      </c>
      <c r="L31" s="14"/>
    </row>
    <row r="32" spans="1:12" ht="22.05" customHeight="1" x14ac:dyDescent="0.45">
      <c r="A32" s="5"/>
      <c r="B32" s="5"/>
      <c r="C32" s="5"/>
      <c r="D32" s="5"/>
      <c r="E32" s="5"/>
      <c r="F32" s="5"/>
      <c r="G32" s="5"/>
      <c r="H32" s="5"/>
      <c r="I32" s="5"/>
      <c r="J32" s="13">
        <f t="shared" si="0"/>
        <v>0</v>
      </c>
      <c r="K32" s="13">
        <f t="shared" si="1"/>
        <v>0</v>
      </c>
      <c r="L32" s="14"/>
    </row>
    <row r="33" spans="1:12" ht="22.05" customHeight="1" x14ac:dyDescent="0.45">
      <c r="A33" s="5"/>
      <c r="B33" s="5"/>
      <c r="C33" s="5"/>
      <c r="D33" s="5"/>
      <c r="E33" s="5"/>
      <c r="F33" s="5"/>
      <c r="G33" s="5"/>
      <c r="H33" s="5"/>
      <c r="I33" s="5"/>
      <c r="J33" s="13">
        <f t="shared" si="0"/>
        <v>0</v>
      </c>
      <c r="K33" s="13">
        <f t="shared" si="1"/>
        <v>0</v>
      </c>
      <c r="L33" s="14"/>
    </row>
    <row r="34" spans="1:12" ht="22.05" customHeight="1" x14ac:dyDescent="0.45">
      <c r="A34" s="5"/>
      <c r="B34" s="5"/>
      <c r="C34" s="5"/>
      <c r="D34" s="5"/>
      <c r="E34" s="5"/>
      <c r="F34" s="5"/>
      <c r="G34" s="5"/>
      <c r="H34" s="5"/>
      <c r="I34" s="5"/>
      <c r="J34" s="13">
        <f t="shared" ref="J34:J51" si="2">G34*I34</f>
        <v>0</v>
      </c>
      <c r="K34" s="13">
        <f t="shared" ref="K34:K51" si="3">H34*I34</f>
        <v>0</v>
      </c>
      <c r="L34" s="14"/>
    </row>
    <row r="35" spans="1:12" ht="22.05" customHeight="1" x14ac:dyDescent="0.45">
      <c r="A35" s="5"/>
      <c r="B35" s="5"/>
      <c r="C35" s="5"/>
      <c r="D35" s="5"/>
      <c r="E35" s="5"/>
      <c r="F35" s="5"/>
      <c r="G35" s="5"/>
      <c r="H35" s="5"/>
      <c r="I35" s="5"/>
      <c r="J35" s="13">
        <f t="shared" si="2"/>
        <v>0</v>
      </c>
      <c r="K35" s="13">
        <f t="shared" si="3"/>
        <v>0</v>
      </c>
      <c r="L35" s="14"/>
    </row>
    <row r="36" spans="1:12" ht="22.05" customHeight="1" x14ac:dyDescent="0.45">
      <c r="A36" s="5"/>
      <c r="B36" s="5"/>
      <c r="C36" s="5"/>
      <c r="D36" s="5"/>
      <c r="E36" s="5"/>
      <c r="F36" s="5"/>
      <c r="G36" s="5"/>
      <c r="H36" s="5"/>
      <c r="I36" s="5"/>
      <c r="J36" s="13">
        <f t="shared" si="2"/>
        <v>0</v>
      </c>
      <c r="K36" s="13">
        <f t="shared" si="3"/>
        <v>0</v>
      </c>
      <c r="L36" s="14"/>
    </row>
    <row r="37" spans="1:12" ht="22.05" customHeight="1" x14ac:dyDescent="0.45">
      <c r="A37" s="5"/>
      <c r="B37" s="5"/>
      <c r="C37" s="5"/>
      <c r="D37" s="5"/>
      <c r="E37" s="5"/>
      <c r="F37" s="5"/>
      <c r="G37" s="5"/>
      <c r="H37" s="5"/>
      <c r="I37" s="5"/>
      <c r="J37" s="13">
        <f t="shared" si="2"/>
        <v>0</v>
      </c>
      <c r="K37" s="13">
        <f t="shared" si="3"/>
        <v>0</v>
      </c>
      <c r="L37" s="14"/>
    </row>
    <row r="38" spans="1:12" ht="22.05" customHeight="1" x14ac:dyDescent="0.45">
      <c r="A38" s="5"/>
      <c r="B38" s="5"/>
      <c r="C38" s="5"/>
      <c r="D38" s="5"/>
      <c r="E38" s="5"/>
      <c r="F38" s="5"/>
      <c r="G38" s="5"/>
      <c r="H38" s="5"/>
      <c r="I38" s="5"/>
      <c r="J38" s="13">
        <f t="shared" si="2"/>
        <v>0</v>
      </c>
      <c r="K38" s="13">
        <f t="shared" si="3"/>
        <v>0</v>
      </c>
      <c r="L38" s="14"/>
    </row>
    <row r="39" spans="1:12" ht="22.05" customHeight="1" x14ac:dyDescent="0.45">
      <c r="A39" s="5"/>
      <c r="B39" s="5"/>
      <c r="C39" s="5"/>
      <c r="D39" s="5"/>
      <c r="E39" s="5"/>
      <c r="F39" s="5"/>
      <c r="G39" s="5"/>
      <c r="H39" s="5"/>
      <c r="I39" s="5"/>
      <c r="J39" s="13">
        <f t="shared" si="2"/>
        <v>0</v>
      </c>
      <c r="K39" s="13">
        <f t="shared" si="3"/>
        <v>0</v>
      </c>
      <c r="L39" s="14"/>
    </row>
    <row r="40" spans="1:12" ht="22.05" customHeight="1" x14ac:dyDescent="0.45">
      <c r="A40" s="5"/>
      <c r="B40" s="5"/>
      <c r="C40" s="5"/>
      <c r="D40" s="5"/>
      <c r="E40" s="5"/>
      <c r="F40" s="5"/>
      <c r="G40" s="5"/>
      <c r="H40" s="5"/>
      <c r="I40" s="5"/>
      <c r="J40" s="13">
        <f t="shared" si="2"/>
        <v>0</v>
      </c>
      <c r="K40" s="13">
        <f t="shared" si="3"/>
        <v>0</v>
      </c>
      <c r="L40" s="14"/>
    </row>
    <row r="41" spans="1:12" ht="22.05" customHeight="1" x14ac:dyDescent="0.45">
      <c r="A41" s="5"/>
      <c r="B41" s="5"/>
      <c r="C41" s="5"/>
      <c r="D41" s="5"/>
      <c r="E41" s="5"/>
      <c r="F41" s="5"/>
      <c r="G41" s="5"/>
      <c r="H41" s="5"/>
      <c r="I41" s="5"/>
      <c r="J41" s="13">
        <f t="shared" si="2"/>
        <v>0</v>
      </c>
      <c r="K41" s="13">
        <f t="shared" si="3"/>
        <v>0</v>
      </c>
      <c r="L41" s="14"/>
    </row>
    <row r="42" spans="1:12" ht="22.05" customHeight="1" x14ac:dyDescent="0.45">
      <c r="A42" s="5"/>
      <c r="B42" s="5"/>
      <c r="C42" s="5"/>
      <c r="D42" s="5"/>
      <c r="E42" s="5"/>
      <c r="F42" s="5"/>
      <c r="G42" s="5"/>
      <c r="H42" s="5"/>
      <c r="I42" s="5"/>
      <c r="J42" s="13">
        <f t="shared" si="2"/>
        <v>0</v>
      </c>
      <c r="K42" s="13">
        <f t="shared" si="3"/>
        <v>0</v>
      </c>
      <c r="L42" s="14"/>
    </row>
    <row r="43" spans="1:12" ht="22.05" customHeight="1" x14ac:dyDescent="0.45">
      <c r="A43" s="5"/>
      <c r="B43" s="5"/>
      <c r="C43" s="5"/>
      <c r="D43" s="5"/>
      <c r="E43" s="5"/>
      <c r="F43" s="5"/>
      <c r="G43" s="5"/>
      <c r="H43" s="5"/>
      <c r="I43" s="5"/>
      <c r="J43" s="13">
        <f t="shared" si="2"/>
        <v>0</v>
      </c>
      <c r="K43" s="13">
        <f t="shared" si="3"/>
        <v>0</v>
      </c>
      <c r="L43" s="14"/>
    </row>
    <row r="44" spans="1:12" ht="22.05" customHeight="1" x14ac:dyDescent="0.45">
      <c r="A44" s="5"/>
      <c r="B44" s="5"/>
      <c r="C44" s="5"/>
      <c r="D44" s="5"/>
      <c r="E44" s="5"/>
      <c r="F44" s="5"/>
      <c r="G44" s="5"/>
      <c r="H44" s="5"/>
      <c r="I44" s="5"/>
      <c r="J44" s="13">
        <f t="shared" si="2"/>
        <v>0</v>
      </c>
      <c r="K44" s="13">
        <f t="shared" si="3"/>
        <v>0</v>
      </c>
      <c r="L44" s="14"/>
    </row>
    <row r="45" spans="1:12" ht="22.05" customHeight="1" x14ac:dyDescent="0.45">
      <c r="A45" s="5"/>
      <c r="B45" s="5"/>
      <c r="C45" s="5"/>
      <c r="D45" s="5"/>
      <c r="E45" s="5"/>
      <c r="F45" s="5"/>
      <c r="G45" s="5"/>
      <c r="H45" s="5"/>
      <c r="I45" s="5"/>
      <c r="J45" s="13">
        <f t="shared" si="2"/>
        <v>0</v>
      </c>
      <c r="K45" s="13">
        <f t="shared" si="3"/>
        <v>0</v>
      </c>
      <c r="L45" s="14"/>
    </row>
    <row r="46" spans="1:12" ht="22.05" customHeight="1" x14ac:dyDescent="0.45">
      <c r="A46" s="5"/>
      <c r="B46" s="5"/>
      <c r="C46" s="5"/>
      <c r="D46" s="5"/>
      <c r="E46" s="5"/>
      <c r="F46" s="5"/>
      <c r="G46" s="5"/>
      <c r="H46" s="5"/>
      <c r="I46" s="5"/>
      <c r="J46" s="13">
        <f t="shared" si="2"/>
        <v>0</v>
      </c>
      <c r="K46" s="13">
        <f t="shared" si="3"/>
        <v>0</v>
      </c>
      <c r="L46" s="14"/>
    </row>
    <row r="47" spans="1:12" ht="22.05" customHeight="1" x14ac:dyDescent="0.45">
      <c r="A47" s="5"/>
      <c r="B47" s="5"/>
      <c r="C47" s="5"/>
      <c r="D47" s="5"/>
      <c r="E47" s="5"/>
      <c r="F47" s="5"/>
      <c r="G47" s="5"/>
      <c r="H47" s="5"/>
      <c r="I47" s="5"/>
      <c r="J47" s="13">
        <f t="shared" si="2"/>
        <v>0</v>
      </c>
      <c r="K47" s="13">
        <f t="shared" si="3"/>
        <v>0</v>
      </c>
      <c r="L47" s="14"/>
    </row>
    <row r="48" spans="1:12" ht="22.05" customHeight="1" x14ac:dyDescent="0.45">
      <c r="A48" s="5"/>
      <c r="B48" s="5"/>
      <c r="C48" s="5"/>
      <c r="D48" s="5"/>
      <c r="E48" s="5"/>
      <c r="F48" s="5"/>
      <c r="G48" s="5"/>
      <c r="H48" s="5"/>
      <c r="I48" s="5"/>
      <c r="J48" s="13">
        <f t="shared" si="2"/>
        <v>0</v>
      </c>
      <c r="K48" s="13">
        <f t="shared" si="3"/>
        <v>0</v>
      </c>
      <c r="L48" s="14"/>
    </row>
    <row r="49" spans="1:12" ht="22.05" customHeight="1" x14ac:dyDescent="0.45">
      <c r="A49" s="5"/>
      <c r="B49" s="5"/>
      <c r="C49" s="5"/>
      <c r="D49" s="5"/>
      <c r="E49" s="5"/>
      <c r="F49" s="5"/>
      <c r="G49" s="5"/>
      <c r="H49" s="5"/>
      <c r="I49" s="5"/>
      <c r="J49" s="13">
        <f t="shared" si="2"/>
        <v>0</v>
      </c>
      <c r="K49" s="13">
        <f t="shared" si="3"/>
        <v>0</v>
      </c>
      <c r="L49" s="14"/>
    </row>
    <row r="50" spans="1:12" ht="22.05" customHeight="1" x14ac:dyDescent="0.45">
      <c r="A50" s="5"/>
      <c r="B50" s="5"/>
      <c r="C50" s="5"/>
      <c r="D50" s="5"/>
      <c r="E50" s="5"/>
      <c r="F50" s="5"/>
      <c r="G50" s="5"/>
      <c r="H50" s="5"/>
      <c r="I50" s="5"/>
      <c r="J50" s="13">
        <f t="shared" si="2"/>
        <v>0</v>
      </c>
      <c r="K50" s="13">
        <f t="shared" si="3"/>
        <v>0</v>
      </c>
      <c r="L50" s="14"/>
    </row>
    <row r="51" spans="1:12" ht="22.05" customHeight="1" thickBot="1" x14ac:dyDescent="0.5">
      <c r="A51" s="5"/>
      <c r="B51" s="5"/>
      <c r="C51" s="5"/>
      <c r="D51" s="5"/>
      <c r="E51" s="5"/>
      <c r="F51" s="5"/>
      <c r="G51" s="5"/>
      <c r="H51" s="5"/>
      <c r="I51" s="5"/>
      <c r="J51" s="13">
        <f t="shared" si="2"/>
        <v>0</v>
      </c>
      <c r="K51" s="13">
        <f t="shared" si="3"/>
        <v>0</v>
      </c>
      <c r="L51" s="14"/>
    </row>
    <row r="52" spans="1:12" ht="26" customHeight="1" x14ac:dyDescent="0.45">
      <c r="A52" s="15" t="s">
        <v>57</v>
      </c>
      <c r="B52" s="15" t="s">
        <v>0</v>
      </c>
      <c r="C52" s="15" t="s">
        <v>0</v>
      </c>
      <c r="D52" s="15" t="s">
        <v>0</v>
      </c>
      <c r="E52" s="15" t="s">
        <v>0</v>
      </c>
      <c r="F52" s="15" t="s">
        <v>0</v>
      </c>
      <c r="G52" s="15" t="s">
        <v>0</v>
      </c>
      <c r="H52" s="15" t="s">
        <v>0</v>
      </c>
      <c r="I52" s="15" t="s">
        <v>0</v>
      </c>
      <c r="J52" s="16">
        <f>SUM(J5:J51)</f>
        <v>1314195.5970000001</v>
      </c>
      <c r="K52" s="16">
        <f>SUM(K5:K51)</f>
        <v>1182533.503</v>
      </c>
      <c r="L52" s="15" t="s">
        <v>0</v>
      </c>
    </row>
  </sheetData>
  <mergeCells count="2">
    <mergeCell ref="A1:L1"/>
    <mergeCell ref="A2:L2"/>
  </mergeCells>
  <dataValidations count="4">
    <dataValidation type="list" errorStyle="warning" allowBlank="1" showErrorMessage="1" errorTitle="Invalid option" error="Please choose: EPF | Unit Trust | Fixed Deposit | Stocks | Bonds" sqref="C5:C51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51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51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51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READ ME FIRST</vt:lpstr>
      <vt:lpstr>Portfolio Data Entry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2026-05-19T08:11:32Z</dcterms:created>
  <dcterms:modified xsi:type="dcterms:W3CDTF">2026-05-19T13:06:06Z</dcterms:modified>
  <cp:category/>
</cp:coreProperties>
</file>